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Smile\Desktop\Projeto Portage\"/>
    </mc:Choice>
  </mc:AlternateContent>
  <xr:revisionPtr revIDLastSave="0" documentId="13_ncr:1_{DB1A312E-9212-438E-8CEE-710872DDE411}" xr6:coauthVersionLast="47" xr6:coauthVersionMax="47" xr10:uidLastSave="{00000000-0000-0000-0000-000000000000}"/>
  <bookViews>
    <workbookView xWindow="-20610" yWindow="645" windowWidth="20730" windowHeight="11040" tabRatio="751" activeTab="4" xr2:uid="{00000000-000D-0000-FFFF-FFFF00000000}"/>
  </bookViews>
  <sheets>
    <sheet name="SOCIALIZAÇÃO" sheetId="3" r:id="rId1"/>
    <sheet name="LINGUAGEM" sheetId="5" r:id="rId2"/>
    <sheet name="AUTOS CUIDADOS" sheetId="7" r:id="rId3"/>
    <sheet name="COGNIÇÃO" sheetId="6" r:id="rId4"/>
    <sheet name="MOTOR" sheetId="8" r:id="rId5"/>
    <sheet name="Resultados" sheetId="1" r:id="rId6"/>
    <sheet name="Calculo da Idade" sheetId="9" state="hidden" r:id="rId7"/>
    <sheet name="Acompanhamento contínuo" sheetId="2" r:id="rId8"/>
    <sheet name="Plan2" sheetId="4" state="hidden" r:id="rId9"/>
  </sheets>
  <calcPr calcId="181029"/>
</workbook>
</file>

<file path=xl/calcChain.xml><?xml version="1.0" encoding="utf-8"?>
<calcChain xmlns="http://schemas.openxmlformats.org/spreadsheetml/2006/main">
  <c r="B27" i="1" l="1"/>
  <c r="K23" i="1"/>
  <c r="F12" i="1" l="1"/>
  <c r="F22" i="1" s="1"/>
  <c r="N22" i="1" s="1"/>
  <c r="G9" i="1"/>
  <c r="F13" i="9"/>
  <c r="E13" i="9"/>
  <c r="D13" i="9"/>
  <c r="C13" i="9"/>
  <c r="B13" i="9"/>
  <c r="F12" i="9"/>
  <c r="E12" i="9"/>
  <c r="D12" i="9"/>
  <c r="C12" i="9"/>
  <c r="B12" i="9"/>
  <c r="F10" i="9"/>
  <c r="E10" i="9"/>
  <c r="D10" i="9"/>
  <c r="C10" i="9"/>
  <c r="B10" i="9"/>
  <c r="G12" i="1"/>
  <c r="F23" i="1" s="1"/>
  <c r="N23" i="1" s="1"/>
  <c r="E12" i="1"/>
  <c r="F21" i="1" s="1"/>
  <c r="N21" i="1" s="1"/>
  <c r="D12" i="1"/>
  <c r="F20" i="1" s="1"/>
  <c r="N20" i="1" s="1"/>
  <c r="C12" i="1"/>
  <c r="F19" i="1" s="1"/>
  <c r="N19" i="1" s="1"/>
  <c r="B12" i="1"/>
  <c r="F18" i="1" s="1"/>
  <c r="N18" i="1" s="1"/>
  <c r="G11" i="1"/>
  <c r="D23" i="1" s="1"/>
  <c r="L23" i="1" s="1"/>
  <c r="F11" i="1"/>
  <c r="D22" i="1" s="1"/>
  <c r="L22" i="1" s="1"/>
  <c r="E11" i="1"/>
  <c r="D21" i="1" s="1"/>
  <c r="L21" i="1" s="1"/>
  <c r="D11" i="1"/>
  <c r="D20" i="1" s="1"/>
  <c r="L20" i="1" s="1"/>
  <c r="C11" i="1"/>
  <c r="D19" i="1" s="1"/>
  <c r="L19" i="1" s="1"/>
  <c r="B11" i="1"/>
  <c r="D18" i="1" s="1"/>
  <c r="L18" i="1" s="1"/>
  <c r="G10" i="1"/>
  <c r="E23" i="1" s="1"/>
  <c r="M23" i="1" s="1"/>
  <c r="F10" i="1"/>
  <c r="E22" i="1" s="1"/>
  <c r="M22" i="1" s="1"/>
  <c r="E10" i="1"/>
  <c r="E21" i="1" s="1"/>
  <c r="M21" i="1" s="1"/>
  <c r="D10" i="1"/>
  <c r="E20" i="1" s="1"/>
  <c r="M20" i="1" s="1"/>
  <c r="C10" i="1"/>
  <c r="E19" i="1" s="1"/>
  <c r="M19" i="1" s="1"/>
  <c r="B10" i="1"/>
  <c r="E18" i="1" s="1"/>
  <c r="M18" i="1" s="1"/>
  <c r="F9" i="1"/>
  <c r="C22" i="1" s="1"/>
  <c r="K22" i="1" s="1"/>
  <c r="E9" i="1"/>
  <c r="C21" i="1" s="1"/>
  <c r="K21" i="1" s="1"/>
  <c r="D9" i="1"/>
  <c r="C20" i="1" s="1"/>
  <c r="K20" i="1" s="1"/>
  <c r="C9" i="1"/>
  <c r="C19" i="1" s="1"/>
  <c r="K19" i="1" s="1"/>
  <c r="B9" i="1"/>
  <c r="C18" i="1" s="1"/>
  <c r="K18" i="1" s="1"/>
  <c r="G8" i="1"/>
  <c r="B23" i="1" s="1"/>
  <c r="F8" i="1"/>
  <c r="B22" i="1" s="1"/>
  <c r="J22" i="1" s="1"/>
  <c r="E8" i="1"/>
  <c r="B21" i="1" s="1"/>
  <c r="J21" i="1" s="1"/>
  <c r="D8" i="1"/>
  <c r="B20" i="1" s="1"/>
  <c r="J20" i="1" s="1"/>
  <c r="C8" i="1"/>
  <c r="B8" i="1"/>
  <c r="B18" i="1" s="1"/>
  <c r="J18" i="1" s="1"/>
  <c r="A2" i="1"/>
  <c r="B19" i="1" l="1"/>
  <c r="J19" i="1" s="1"/>
  <c r="G23" i="1"/>
  <c r="J23" i="1"/>
  <c r="G20" i="1"/>
  <c r="G21" i="1"/>
  <c r="E24" i="1"/>
  <c r="D24" i="1"/>
  <c r="F24" i="1"/>
  <c r="G18" i="1"/>
  <c r="G22" i="1"/>
  <c r="C24" i="1"/>
  <c r="E13" i="1"/>
  <c r="H12" i="1"/>
  <c r="H11" i="1"/>
  <c r="H10" i="1"/>
  <c r="F13" i="1"/>
  <c r="H9" i="1"/>
  <c r="G13" i="1"/>
  <c r="D13" i="1"/>
  <c r="C13" i="1"/>
  <c r="H8" i="1"/>
  <c r="B13" i="1"/>
  <c r="B24" i="1" l="1"/>
  <c r="G24" i="1" s="1"/>
  <c r="G19" i="1"/>
  <c r="C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</author>
  </authors>
  <commentList>
    <comment ref="F16" authorId="0" shapeId="0" xr:uid="{58644141-3C57-434C-B075-933C981AC1C8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 idade atual da criança. Números inteiros apenas.</t>
        </r>
      </text>
    </comment>
    <comment ref="B18" authorId="0" shapeId="0" xr:uid="{29BF3BC9-BEBF-4050-B720-07664CDDDB23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28 pontos
</t>
        </r>
      </text>
    </comment>
    <comment ref="C18" authorId="0" shapeId="0" xr:uid="{2E2C071D-5BE3-46FE-88F2-5E726BA89E0F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10 pontos</t>
        </r>
      </text>
    </comment>
    <comment ref="D18" authorId="0" shapeId="0" xr:uid="{2520D8B3-A51C-4A0C-8971-5BAAA0448E3A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14 pontos</t>
        </r>
      </text>
    </comment>
    <comment ref="E18" authorId="0" shapeId="0" xr:uid="{9CED7072-698B-4751-A1E2-607D13ED7CAA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13 pontos</t>
        </r>
      </text>
    </comment>
    <comment ref="F18" authorId="0" shapeId="0" xr:uid="{C20E5B68-B4FB-4233-9CBE-7578ADF3813A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45 pontos</t>
        </r>
      </text>
    </comment>
    <comment ref="B19" authorId="0" shapeId="0" xr:uid="{E6D9B607-30A0-4759-BD9E-2C80587C5147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C19" authorId="0" shapeId="0" xr:uid="{3E418852-FD1A-4123-8F11-F66C04C25B06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18 pontos</t>
        </r>
      </text>
    </comment>
    <comment ref="D19" authorId="0" shapeId="0" xr:uid="{D71818A4-C6F1-4B03-8218-ACAB0D5BFCF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10 pontos</t>
        </r>
      </text>
    </comment>
    <comment ref="E19" authorId="0" shapeId="0" xr:uid="{4FEADFD8-37A6-4037-A199-3379013896FA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12 pontos</t>
        </r>
      </text>
    </comment>
    <comment ref="F19" authorId="0" shapeId="0" xr:uid="{37BBADBD-6ADE-46FF-B919-3D47D0F78BF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18 pontos</t>
        </r>
      </text>
    </comment>
    <comment ref="B20" authorId="0" shapeId="0" xr:uid="{931CE5BB-9ADB-479A-9F14-1A5E75AFE6F6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8 pontos</t>
        </r>
      </text>
    </comment>
    <comment ref="C20" authorId="0" shapeId="0" xr:uid="{6D3C7F7B-FB6A-4FE5-8485-F5DBD2BD369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30 pontos</t>
        </r>
      </text>
    </comment>
    <comment ref="D20" authorId="0" shapeId="0" xr:uid="{8170D09F-486B-4093-8321-111B73CBB065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E20" authorId="0" shapeId="0" xr:uid="{44D8D4B5-220A-41EC-B24F-A7870FDD4AC6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27 pontos</t>
        </r>
      </text>
    </comment>
    <comment ref="F20" authorId="0" shapeId="0" xr:uid="{732ABCFC-A242-4AB7-A2EC-F6B624118A52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17 pontos</t>
        </r>
      </text>
    </comment>
    <comment ref="B21" authorId="0" shapeId="0" xr:uid="{54DC111B-5D78-4016-9E71-D662C29FE9F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12 pontos</t>
        </r>
      </text>
    </comment>
    <comment ref="C21" authorId="0" shapeId="0" xr:uid="{31C7811A-9CB3-4744-AFE2-9BE6476F54D2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24 pontos</t>
        </r>
      </text>
    </comment>
    <comment ref="D21" authorId="0" shapeId="0" xr:uid="{994FE9DE-8EFB-45A2-8C11-9A884BD0C3C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24 pontos</t>
        </r>
      </text>
    </comment>
    <comment ref="E21" authorId="0" shapeId="0" xr:uid="{3C46EBAE-4008-434E-9133-621C1227DF73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F21" authorId="0" shapeId="0" xr:uid="{837FDC80-2AB6-480A-9ACC-F05C514AB098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B22" authorId="0" shapeId="0" xr:uid="{FC99C3C1-62D0-460B-901D-ADD44A0DD2D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9 pontos</t>
        </r>
      </text>
    </comment>
    <comment ref="C22" authorId="0" shapeId="0" xr:uid="{93DE47D7-8C08-417D-83C0-0676E20BF907}">
      <text>
        <r>
          <rPr>
            <b/>
            <sz val="9"/>
            <color indexed="81"/>
            <rFont val="Segoe UI"/>
            <family val="2"/>
          </rPr>
          <t xml:space="preserve">Leandro: 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D22" authorId="0" shapeId="0" xr:uid="{C2A2E4D7-7CFC-48D8-9BAE-B7576A59150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22 pontos</t>
        </r>
      </text>
    </comment>
    <comment ref="E22" authorId="0" shapeId="0" xr:uid="{F19DA7F6-1FD7-4C5A-9067-205E429A702B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23 pontos</t>
        </r>
      </text>
    </comment>
    <comment ref="F22" authorId="0" shapeId="0" xr:uid="{4FB15570-78AE-4F83-A61C-776AFDBF3ED1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B23" authorId="0" shapeId="0" xr:uid="{6F760340-DD52-446E-9740-AA0847DF009D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11 pontos</t>
        </r>
      </text>
    </comment>
    <comment ref="C23" authorId="0" shapeId="0" xr:uid="{086F398A-3590-45D8-8274-37443841828E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14 pontos</t>
        </r>
      </text>
    </comment>
    <comment ref="D23" authorId="0" shapeId="0" xr:uid="{B468DB57-B0CF-4F55-BBA9-30FB7A8E806B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22 pontos</t>
        </r>
      </text>
    </comment>
    <comment ref="E23" authorId="0" shapeId="0" xr:uid="{F8F63492-8C8E-4A9C-B190-3514F68F376D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F23" authorId="0" shapeId="0" xr:uid="{D167DDDC-1BAA-42B0-A97D-73367E5A3C5A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29 pontos</t>
        </r>
      </text>
    </comment>
    <comment ref="A24" authorId="0" shapeId="0" xr:uid="{06E4737C-D160-44EE-A099-03DD9AC9A2EE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O resultado está arredondado e é exibido em anos, com valor máximo em 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</author>
  </authors>
  <commentList>
    <comment ref="F2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 idade atual da criança. Números inteiros apenas.</t>
        </r>
      </text>
    </comment>
    <comment ref="B3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aqui os pontos referentes à área de socialização, separados por faixa etária.</t>
        </r>
      </text>
    </comment>
    <comment ref="C3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aqui os pontos referentes à área de Linguagem, separados por faixa etária.</t>
        </r>
      </text>
    </comment>
    <comment ref="D3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aqui os pontos referentes à área de cognição, separados por faixa etária.</t>
        </r>
      </text>
    </comment>
    <comment ref="E3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aqui os pontos referentes à área de auto cuidados, separados por faixa etária.</t>
        </r>
      </text>
    </comment>
    <comment ref="F3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Insira aqui os pontos referentes à área de desenv. Motor, , separados por faixa etária.</t>
        </r>
      </text>
    </comment>
    <comment ref="B4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28 pontos
</t>
        </r>
      </text>
    </comment>
    <comment ref="C4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10 pontos</t>
        </r>
      </text>
    </comment>
    <comment ref="D4" authorId="0" shapeId="0" xr:uid="{00000000-0006-0000-0600-000009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14 pontos</t>
        </r>
      </text>
    </comment>
    <comment ref="E4" authorId="0" shapeId="0" xr:uid="{00000000-0006-0000-0600-00000A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13 pontos</t>
        </r>
      </text>
    </comment>
    <comment ref="F4" authorId="0" shapeId="0" xr:uid="{00000000-0006-0000-0600-00000B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45 pontos</t>
        </r>
      </text>
    </comment>
    <comment ref="B5" authorId="0" shapeId="0" xr:uid="{00000000-0006-0000-0600-00000C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C5" authorId="0" shapeId="0" xr:uid="{00000000-0006-0000-0600-00000D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18 pontos</t>
        </r>
      </text>
    </comment>
    <comment ref="D5" authorId="0" shapeId="0" xr:uid="{00000000-0006-0000-0600-00000E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10 pontos</t>
        </r>
      </text>
    </comment>
    <comment ref="E5" authorId="0" shapeId="0" xr:uid="{00000000-0006-0000-0600-00000F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12 pontos</t>
        </r>
      </text>
    </comment>
    <comment ref="F5" authorId="0" shapeId="0" xr:uid="{00000000-0006-0000-0600-000010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18 pontos</t>
        </r>
      </text>
    </comment>
    <comment ref="B6" authorId="0" shapeId="0" xr:uid="{00000000-0006-0000-0600-000011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8 pontos</t>
        </r>
      </text>
    </comment>
    <comment ref="C6" authorId="0" shapeId="0" xr:uid="{00000000-0006-0000-0600-000012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30 pontos</t>
        </r>
      </text>
    </comment>
    <comment ref="D6" authorId="0" shapeId="0" xr:uid="{00000000-0006-0000-0600-000013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E6" authorId="0" shapeId="0" xr:uid="{00000000-0006-0000-0600-000014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27 pontos</t>
        </r>
      </text>
    </comment>
    <comment ref="F6" authorId="0" shapeId="0" xr:uid="{00000000-0006-0000-0600-000015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17 pontos</t>
        </r>
      </text>
    </comment>
    <comment ref="B7" authorId="0" shapeId="0" xr:uid="{00000000-0006-0000-0600-000016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12 pontos</t>
        </r>
      </text>
    </comment>
    <comment ref="C7" authorId="0" shapeId="0" xr:uid="{00000000-0006-0000-0600-000017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24 pontos</t>
        </r>
      </text>
    </comment>
    <comment ref="D7" authorId="0" shapeId="0" xr:uid="{00000000-0006-0000-0600-000018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24 pontos</t>
        </r>
      </text>
    </comment>
    <comment ref="E7" authorId="0" shapeId="0" xr:uid="{00000000-0006-0000-0600-000019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F7" authorId="0" shapeId="0" xr:uid="{00000000-0006-0000-0600-00001A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B8" authorId="0" shapeId="0" xr:uid="{00000000-0006-0000-0600-00001B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9 pontos</t>
        </r>
      </text>
    </comment>
    <comment ref="C8" authorId="0" shapeId="0" xr:uid="{00000000-0006-0000-0600-00001C000000}">
      <text>
        <r>
          <rPr>
            <b/>
            <sz val="9"/>
            <color indexed="81"/>
            <rFont val="Segoe UI"/>
            <family val="2"/>
          </rPr>
          <t xml:space="preserve">Leandro: 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D8" authorId="0" shapeId="0" xr:uid="{00000000-0006-0000-0600-00001D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22 pontos</t>
        </r>
      </text>
    </comment>
    <comment ref="E8" authorId="0" shapeId="0" xr:uid="{00000000-0006-0000-0600-00001E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23 pontos</t>
        </r>
      </text>
    </comment>
    <comment ref="F8" authorId="0" shapeId="0" xr:uid="{00000000-0006-0000-0600-00001F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16 pontos</t>
        </r>
      </text>
    </comment>
    <comment ref="B9" authorId="0" shapeId="0" xr:uid="{00000000-0006-0000-0600-000020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11 pontos</t>
        </r>
      </text>
    </comment>
    <comment ref="C9" authorId="0" shapeId="0" xr:uid="{00000000-0006-0000-0600-000021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14 pontos</t>
        </r>
      </text>
    </comment>
    <comment ref="D9" authorId="0" shapeId="0" xr:uid="{00000000-0006-0000-0600-000022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22 pontos</t>
        </r>
      </text>
    </comment>
    <comment ref="E9" authorId="0" shapeId="0" xr:uid="{00000000-0006-0000-0600-000023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15 pontos</t>
        </r>
      </text>
    </comment>
    <comment ref="F9" authorId="0" shapeId="0" xr:uid="{00000000-0006-0000-0600-000024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Valor máximo: 29 pontos</t>
        </r>
      </text>
    </comment>
    <comment ref="A10" authorId="0" shapeId="0" xr:uid="{00000000-0006-0000-0600-000025000000}">
      <text>
        <r>
          <rPr>
            <b/>
            <sz val="9"/>
            <color indexed="81"/>
            <rFont val="Segoe UI"/>
            <family val="2"/>
          </rPr>
          <t>Leandro:</t>
        </r>
        <r>
          <rPr>
            <sz val="9"/>
            <color indexed="81"/>
            <rFont val="Segoe UI"/>
            <family val="2"/>
          </rPr>
          <t xml:space="preserve">
O resultado está arredondado e é exibido em anos, com valor máximo em 6.</t>
        </r>
      </text>
    </comment>
  </commentList>
</comments>
</file>

<file path=xl/sharedStrings.xml><?xml version="1.0" encoding="utf-8"?>
<sst xmlns="http://schemas.openxmlformats.org/spreadsheetml/2006/main" count="1921" uniqueCount="733">
  <si>
    <t>*Coloque o total da pontuação em cada área avaliada</t>
  </si>
  <si>
    <t>Idade</t>
  </si>
  <si>
    <t>0-1 ano</t>
  </si>
  <si>
    <t>Áreas</t>
  </si>
  <si>
    <t>Total</t>
  </si>
  <si>
    <t>%</t>
  </si>
  <si>
    <t>Socialização</t>
  </si>
  <si>
    <t>Linguagem</t>
  </si>
  <si>
    <t>Autocuidados</t>
  </si>
  <si>
    <t>Cognição</t>
  </si>
  <si>
    <t>Motora</t>
  </si>
  <si>
    <t>Faixa etária/data</t>
  </si>
  <si>
    <t>Cognitiva</t>
  </si>
  <si>
    <t>TABELA SÍNTESE DE RESULTADOS OBTIDOS NO INVENTÁRIO PORTAGE OPERACIONALIZADO (IPO)</t>
  </si>
  <si>
    <t>TABELA DE ACOMPANHAMENTO CONTÍNUO DOS RESULTADOS OBTIDOS NO INVENTÁRIO PORTAGE OPERACIONALIZADO (IPO)</t>
  </si>
  <si>
    <t>1-2 anos</t>
  </si>
  <si>
    <t>2-3 anos</t>
  </si>
  <si>
    <t>3-4 anos</t>
  </si>
  <si>
    <t>5-6 anos</t>
  </si>
  <si>
    <t>4-5 anos</t>
  </si>
  <si>
    <t>Data da avaliação:</t>
  </si>
  <si>
    <t>Data de nascimento:</t>
  </si>
  <si>
    <t>Avaliador:</t>
  </si>
  <si>
    <t>Criança:</t>
  </si>
  <si>
    <t>Mediador:</t>
  </si>
  <si>
    <t>Resultado</t>
  </si>
  <si>
    <t>LISTA</t>
  </si>
  <si>
    <t>S</t>
  </si>
  <si>
    <t>N</t>
  </si>
  <si>
    <t>AV</t>
  </si>
  <si>
    <t xml:space="preserve"> Sorri em resposta à atenção do adulto.</t>
  </si>
  <si>
    <t xml:space="preserve"> Vocaliza em resposta à atenção.</t>
  </si>
  <si>
    <t xml:space="preserve"> Olha para sua própria mão, sorrindo ou vocalizando.</t>
  </si>
  <si>
    <t xml:space="preserve"> Responde a seu círculo familiar, sorrindo, vocalizando ou parando de chorar.</t>
  </si>
  <si>
    <t xml:space="preserve"> Sorri em resposta à expressão facial dos outros.</t>
  </si>
  <si>
    <t xml:space="preserve"> Sorri e vocaliza ao ver sua imagem no espelho</t>
  </si>
  <si>
    <t xml:space="preserve"> Acaricia ou toca no rosto de adultos (puxa cabelo, nariz, óculos, etc.).</t>
  </si>
  <si>
    <t xml:space="preserve"> Estende a mão em direção a um objeto oferecido.</t>
  </si>
  <si>
    <t xml:space="preserve"> Estende os braços em direção a pessoas familiares.</t>
  </si>
  <si>
    <t xml:space="preserve"> Estende a mão e toca sua imagem refletida no espelho.</t>
  </si>
  <si>
    <t>Segura e examina por 1 minuto um objeto que lhe foi dado.</t>
  </si>
  <si>
    <t>Sacode ou aperta um objeto colocado em sua mão, produzindo sons involuntários.</t>
  </si>
  <si>
    <t>Brinca sozinho por 10 minutos.</t>
  </si>
  <si>
    <t>Procura contato visual quando alguém lhe dá atenção por 2 a 3 minutos.</t>
  </si>
  <si>
    <t>Brinca sozinho sem reclamar por 15 a 20 minutos, próximo de um adulto.</t>
  </si>
  <si>
    <t>Vocaliza para obter atenção.</t>
  </si>
  <si>
    <t>Bate palmas, imitando um adulto.</t>
  </si>
  <si>
    <t>Acena a mão, imitando um adulto.</t>
  </si>
  <si>
    <t>Ergue os braços para expressar “grande”, imitando um adulto.</t>
  </si>
  <si>
    <t>Oferece algo, mas nem sempre entrega.</t>
  </si>
  <si>
    <t>Abraça, acaricia e beija familiares.</t>
  </si>
  <si>
    <t>Responde ao próprio nome, olhando ou estendendo o braço para ser pego.</t>
  </si>
  <si>
    <t>Aperta ou sacode um brinquedo para produzir sons, em imitação.</t>
  </si>
  <si>
    <t>Manipula brinquedo ou objeto.</t>
  </si>
  <si>
    <t>Estende um brinquedo ou objeto a um adulto e o entrega.</t>
  </si>
  <si>
    <t>Imita movimentos de outras crianças ao brincar.</t>
  </si>
  <si>
    <t>Imita adulto em brincadeiras de esconde.</t>
  </si>
  <si>
    <t>Critério</t>
  </si>
  <si>
    <t>ANULOU</t>
  </si>
  <si>
    <t xml:space="preserve">N.º </t>
  </si>
  <si>
    <t xml:space="preserve">Verificar se: </t>
  </si>
  <si>
    <r>
      <rPr>
        <b/>
        <sz val="12"/>
        <color theme="1"/>
        <rFont val="Calibri"/>
        <family val="2"/>
        <scheme val="minor"/>
      </rPr>
      <t>Legendas: S – Sim (alcançou) | N – Não (ainda não alcançou) | AV - Às vezes</t>
    </r>
    <r>
      <rPr>
        <sz val="11"/>
        <color theme="1"/>
        <rFont val="Calibri"/>
        <family val="2"/>
        <scheme val="minor"/>
      </rPr>
      <t xml:space="preserve">
Obs: Marque utilizando as legendas acima, baseado no Manual do Inventário Operacionalizado Portage. Para dicas,
instruções e a tabela de cálculo automático da idade de desenvolvimento, acesse o e-book Como Adaptar Atividades para
Alunos com Deficiência: aprenda a identificar as necessidades do seu aluno e adaptar atividades, no site do Instituto Itard</t>
    </r>
  </si>
  <si>
    <t xml:space="preserve"> Observa uma pessoa movimentando-se em seu campo visual.</t>
  </si>
  <si>
    <t xml:space="preserve">  Imita um adulto em uma tarefa simples.</t>
  </si>
  <si>
    <t xml:space="preserve"> Brinca ao lado de outra criança, cada uma realizando tarefas diferentes.</t>
  </si>
  <si>
    <t>Toma parte em uma brincadeira com outra criança por 2 a 5 minutos.</t>
  </si>
  <si>
    <t xml:space="preserve"> Aceita a ausência dos pais, embora possa reclamar.</t>
  </si>
  <si>
    <t xml:space="preserve"> Explora ativamente seu meio ambiente.</t>
  </si>
  <si>
    <t xml:space="preserve"> Realiza atividade manipulativa com outra pessoa.</t>
  </si>
  <si>
    <t xml:space="preserve"> Abraça e carrega uma boneca ou brinquedo macio.</t>
  </si>
  <si>
    <t xml:space="preserve"> Repete ações que produzem risos e atenção.</t>
  </si>
  <si>
    <t xml:space="preserve"> Dá um livro para que um adulto o leia ou para que ambos o compartilhem.</t>
  </si>
  <si>
    <t xml:space="preserve"> Retira a mão ou diz "não" quando está próximo de um objeto não permitido e alguém o lembra disto.</t>
  </si>
  <si>
    <t xml:space="preserve"> Quando colocado em sua cadeira ou trocador espera ser atendido.</t>
  </si>
  <si>
    <t xml:space="preserve"> Brinca com 2 ou 3 crianças da sua idade.</t>
  </si>
  <si>
    <t xml:space="preserve"> Compartilha um objeto ou alimento com outra criança.</t>
  </si>
  <si>
    <t xml:space="preserve"> Cumprimenta colegas ou adultos quando lembrado.</t>
  </si>
  <si>
    <t xml:space="preserve"> Obedece às ordens dos pais pelo menos ½ das vezes.</t>
  </si>
  <si>
    <t xml:space="preserve"> Busca / leva um objeto ou pessoa, quando solicitado.</t>
  </si>
  <si>
    <t xml:space="preserve"> Presta atenção à estória ou música por 5 a 10 min.</t>
  </si>
  <si>
    <t>Diz "Por favor" ou "Obrigado" quando lembrado.</t>
  </si>
  <si>
    <t xml:space="preserve"> Tenta ajudar os pais a executarem tarefas realizando parte da mesma.</t>
  </si>
  <si>
    <t xml:space="preserve"> Brinca de usar roupas de adultos.</t>
  </si>
  <si>
    <t xml:space="preserve"> Faz uma escolha quando indagado.</t>
  </si>
  <si>
    <t xml:space="preserve"> Demonstra entender sentimentos, expressando os.</t>
  </si>
  <si>
    <t xml:space="preserve"> Canta e dança ao ouvir músicas.</t>
  </si>
  <si>
    <t xml:space="preserve"> Segue regras de um jogo imitando ações de outras crianças.</t>
  </si>
  <si>
    <t xml:space="preserve"> Cumprimenta pessoas familiares sem ser lembrado.</t>
  </si>
  <si>
    <t xml:space="preserve"> Seguem regras em jogos de grupos dirigidos por adultos.</t>
  </si>
  <si>
    <t xml:space="preserve"> Pede permissão para brincar com um brinquedo que está sendo usado por outra  criança.</t>
  </si>
  <si>
    <t xml:space="preserve"> Atende ao telefone, chamando um adulto e falando com pessoas familiares.</t>
  </si>
  <si>
    <t xml:space="preserve"> Espera a sua vez.</t>
  </si>
  <si>
    <t xml:space="preserve"> Segue regras em jogos dirigidos por uma criança mais velha.</t>
  </si>
  <si>
    <t xml:space="preserve"> Obedece às ordens de um adulto 75% das vezes. (3 vezes a cada 4 tentativas)</t>
  </si>
  <si>
    <t xml:space="preserve"> Permanece em seu próprio quintal ou jardim.</t>
  </si>
  <si>
    <t xml:space="preserve"> Brinca perto de outras crianças conversando com elas enquanto trabalha em um projeto próprio (30 min.)</t>
  </si>
  <si>
    <t xml:space="preserve"> Pede ajuda quando está tendo dificuldades.</t>
  </si>
  <si>
    <t xml:space="preserve"> Contribui para a conversa de adultos.</t>
  </si>
  <si>
    <t xml:space="preserve"> Repete rimas, canções ou dança para os outros.</t>
  </si>
  <si>
    <t xml:space="preserve"> Faz uma tarefa sozinha por 20 a 30 minutos.</t>
  </si>
  <si>
    <t xml:space="preserve"> Pede desculpas sem ser lembrado 75% das vezes.</t>
  </si>
  <si>
    <t xml:space="preserve"> Espera sua vez em brincadeiras que envolvam de 8 a 9 crianças.</t>
  </si>
  <si>
    <t xml:space="preserve"> Quando em público, apresenta um comportamento socialmente aceitável.</t>
  </si>
  <si>
    <t xml:space="preserve"> Pede permissão para usar objetos dos outros em 75% das vezes.</t>
  </si>
  <si>
    <t xml:space="preserve"> Brinca com 4 a 5 crianças em atividade de cooperação por 20 minutos, sem supervisão.</t>
  </si>
  <si>
    <t xml:space="preserve"> Explica aos outros as regras do jogo ou atividade.</t>
  </si>
  <si>
    <t xml:space="preserve"> Imita papéis de adulto.</t>
  </si>
  <si>
    <t xml:space="preserve"> Colabora para a conversa durante as refeições.</t>
  </si>
  <si>
    <t xml:space="preserve"> Segue regras de jogo que envolva raciocínio verbal.</t>
  </si>
  <si>
    <t xml:space="preserve"> Conforta colegas quando estes estão tristes.</t>
  </si>
  <si>
    <t xml:space="preserve"> Escolhe seus próprios amigos.</t>
  </si>
  <si>
    <t xml:space="preserve"> Planeja e constrói, usando ferramentas simples.</t>
  </si>
  <si>
    <t xml:space="preserve"> Dramatiza trechos de histórias, desempenhando um papel ou utilizando fantoches.</t>
  </si>
  <si>
    <t xml:space="preserve"> Estabelece metas para si próprio e executa atividade para atingi-la</t>
  </si>
  <si>
    <t xml:space="preserve"> Diz 5 palavras diferentes.</t>
  </si>
  <si>
    <t xml:space="preserve"> Pede "mais".</t>
  </si>
  <si>
    <t>Diz "acabou".</t>
  </si>
  <si>
    <t xml:space="preserve"> Obedece a 3 ordens diferentes que não são acompanhadas de gestos indicativos.</t>
  </si>
  <si>
    <t>Consegue "dar" ou "mostrar" quando solicitado.</t>
  </si>
  <si>
    <t xml:space="preserve"> Aponta para 12 objetos quando nomeados.</t>
  </si>
  <si>
    <t>Aponta para 3 a 5 figuras em um livro.</t>
  </si>
  <si>
    <t xml:space="preserve"> Aponta para 3 partes de seu próprio corpo.</t>
  </si>
  <si>
    <t>Diz seu nome ou apelido quando solicitado.</t>
  </si>
  <si>
    <t>Combina palavras e gestos para expressar desejos.</t>
  </si>
  <si>
    <t xml:space="preserve"> Nomeia 4 brinquedos.</t>
  </si>
  <si>
    <t>Produz sons de animais, ou os nomeia pelo som.</t>
  </si>
  <si>
    <t xml:space="preserve"> Pede alimentos conhecidos pelo nome, quando mostrados.</t>
  </si>
  <si>
    <t>Faz perguntas variando a entonação da voz.</t>
  </si>
  <si>
    <t>Nomeia 3 partes do corpo em uma boneca ou outra pessoa.</t>
  </si>
  <si>
    <t xml:space="preserve"> Responde a perguntas de sim / não.</t>
  </si>
  <si>
    <t xml:space="preserve"> Expressa diminutivos e aumentativos quando fala.</t>
  </si>
  <si>
    <t xml:space="preserve"> Obedece à sequência de 2 ordens não relacionadas.</t>
  </si>
  <si>
    <t xml:space="preserve"> Diz seu nome completo quando solicitado.</t>
  </si>
  <si>
    <t xml:space="preserve"> Responde perguntas simples envolvendo "Como".</t>
  </si>
  <si>
    <t xml:space="preserve"> Emprega verbos regulares, no passado.</t>
  </si>
  <si>
    <t xml:space="preserve"> Relata experiências imediatas.</t>
  </si>
  <si>
    <t xml:space="preserve"> Diz como são usados objetos comuns.</t>
  </si>
  <si>
    <t xml:space="preserve"> Expressa ações futuras empregando os verbos "ir", "ter" e "querer".</t>
  </si>
  <si>
    <t xml:space="preserve"> Utiliza adequadamente masculino e feminino na fala.</t>
  </si>
  <si>
    <t xml:space="preserve"> Usa formas imperativas de verbos ao pedir favores.</t>
  </si>
  <si>
    <t xml:space="preserve"> Conta 2 fatos na ordem de ocorrência.</t>
  </si>
  <si>
    <t xml:space="preserve"> Obedece a uma sequência envolvendo 3 ordens.</t>
  </si>
  <si>
    <t xml:space="preserve"> Consegue identificar objetos / figuras que formem par, sob solicitação.</t>
  </si>
  <si>
    <t>Emprega o futuro ao falar.</t>
  </si>
  <si>
    <t xml:space="preserve"> Usa orações compostas por coordenação.</t>
  </si>
  <si>
    <t xml:space="preserve"> Consegue identificar a parte de cima e de baixo de objetos, quando solicitado.</t>
  </si>
  <si>
    <t xml:space="preserve"> Consegue identificar absurdos em figuras.</t>
  </si>
  <si>
    <t xml:space="preserve"> Emprega as seguintes palavras: irmã(o), avó, avô.</t>
  </si>
  <si>
    <t xml:space="preserve"> Completa frases com antônimos.</t>
  </si>
  <si>
    <t xml:space="preserve"> Relata uma estória conhecida sem ajuda de figuras.</t>
  </si>
  <si>
    <t xml:space="preserve"> Diz se duas palavras rimam ou não.</t>
  </si>
  <si>
    <t xml:space="preserve"> Usa frases complexas, compostas por subordinação.</t>
  </si>
  <si>
    <t xml:space="preserve"> Diz se um som é forte ou fraco.</t>
  </si>
  <si>
    <t xml:space="preserve"> Consegue indicar alguns, muitos e vários elementos.</t>
  </si>
  <si>
    <t xml:space="preserve"> Diz seu endereço.</t>
  </si>
  <si>
    <t xml:space="preserve"> Diz o número de seu telefone.</t>
  </si>
  <si>
    <t xml:space="preserve"> Aponta para o conjunto que tem mais, menos ou poucos elementos.</t>
  </si>
  <si>
    <t xml:space="preserve"> Conta piadas simples.</t>
  </si>
  <si>
    <t xml:space="preserve"> Relata experiências diárias.</t>
  </si>
  <si>
    <t xml:space="preserve"> Descreve um local ou movimento: através ou entre, longe de, de / desde..., para, por cima de, até.</t>
  </si>
  <si>
    <t xml:space="preserve"> Define palavras.</t>
  </si>
  <si>
    <t xml:space="preserve"> Responde adequadamente a pergunta "Qual o contrário de ...".</t>
  </si>
  <si>
    <t xml:space="preserve"> Responde a pergunta "O que acontece se...".</t>
  </si>
  <si>
    <t xml:space="preserve"> Repete sons emitidos por outras pessoas.</t>
  </si>
  <si>
    <t xml:space="preserve"> Responde a gestos com gestos.</t>
  </si>
  <si>
    <t xml:space="preserve"> Obedece a uma ordem simples, quando acompanhada de gestos indicativos.</t>
  </si>
  <si>
    <t xml:space="preserve"> Interrompe a atividade quando lhe dizem "Não" 75% das vezes.</t>
  </si>
  <si>
    <t xml:space="preserve"> Responde a perguntas simples com respostas não verbais.</t>
  </si>
  <si>
    <t xml:space="preserve"> Combina 2 sílabas diferentes quando tenta verbalizar.</t>
  </si>
  <si>
    <t xml:space="preserve"> Imita padrões de entonação da voz de outras pessoas.</t>
  </si>
  <si>
    <t xml:space="preserve"> Usa uma palavra funcionalmente para indicar objetos ou pessoas.</t>
  </si>
  <si>
    <t xml:space="preserve"> Vocaliza em resposta à fala de outras pessoas.</t>
  </si>
  <si>
    <t xml:space="preserve"> Combina substantivos ou adjetivos e substantivos em frases de 2 palavras.</t>
  </si>
  <si>
    <t xml:space="preserve"> Combina substantivo e verbo em frases de 2 palavras</t>
  </si>
  <si>
    <t xml:space="preserve"> Usa uma palavra para indicar que quer ir ao banheiro</t>
  </si>
  <si>
    <t xml:space="preserve"> Combina verbo ou substantivo com "lá" e "aqui" em frases de 2 palavras.</t>
  </si>
  <si>
    <t xml:space="preserve"> Combina 2 palavras para expressar posse.</t>
  </si>
  <si>
    <t xml:space="preserve"> Emprega "não" na fala.</t>
  </si>
  <si>
    <t xml:space="preserve"> Responde à pergunta "O que .... está fazendo?" para atividade habituais.</t>
  </si>
  <si>
    <t xml:space="preserve"> Responde a perguntas tipo "Onde está objeto?"</t>
  </si>
  <si>
    <t xml:space="preserve"> Nomeia sons ambientais familiares.</t>
  </si>
  <si>
    <t xml:space="preserve"> Dá mais de um objeto quando se usa a forma plural na solicitação.</t>
  </si>
  <si>
    <t xml:space="preserve"> Ao falar, refere se a si próprio pelo nome.</t>
  </si>
  <si>
    <t xml:space="preserve"> Aponta para figuras de objetos comuns descritos pelo uso (até 10) ("O que se usa pra comer? = colher")</t>
  </si>
  <si>
    <t xml:space="preserve"> Mostra a idade pelos dedos.</t>
  </si>
  <si>
    <t xml:space="preserve"> Diz seu sexo quando solicitado.</t>
  </si>
  <si>
    <t xml:space="preserve"> Obedece à seqüência de duas ordens relacionadas.</t>
  </si>
  <si>
    <t xml:space="preserve"> Usa a forma do verbo no gerúndio.</t>
  </si>
  <si>
    <t xml:space="preserve"> Emprega formas regulares no plural.</t>
  </si>
  <si>
    <t xml:space="preserve"> Emprega algumas formas irregulares de verbos no passado de forma sistemática.</t>
  </si>
  <si>
    <t xml:space="preserve"> Faz perguntas do tipo "O que é isso?"</t>
  </si>
  <si>
    <t xml:space="preserve"> Controla o volume da voz 90% das vezes.</t>
  </si>
  <si>
    <t xml:space="preserve"> Usa "este / esta" e "aquele / aquela" na fala.</t>
  </si>
  <si>
    <t xml:space="preserve"> Emprega "é" e "está" em frases simples.</t>
  </si>
  <si>
    <t xml:space="preserve"> Diz "eu", "mim", "meu" ao invés do próprio nome.</t>
  </si>
  <si>
    <t xml:space="preserve"> Aponta objetos e diz que eles não são outras coisas.</t>
  </si>
  <si>
    <t xml:space="preserve"> Responde à pergunta "Quem?" dando um nome.</t>
  </si>
  <si>
    <t xml:space="preserve"> Emprega as formas possessivas dos substantivos.</t>
  </si>
  <si>
    <t xml:space="preserve"> Usa artigos ao falar.</t>
  </si>
  <si>
    <t xml:space="preserve"> Usa substantivos que indicam grupo ou categoria.</t>
  </si>
  <si>
    <t xml:space="preserve"> Usa os verbos "ser", "estar" e "ter" no presente com poucos erros.</t>
  </si>
  <si>
    <t xml:space="preserve"> Diz se os objetos estão abertos ou fechados.</t>
  </si>
  <si>
    <t xml:space="preserve"> Remove um pano do rosto que obscureça sua visão.</t>
  </si>
  <si>
    <t xml:space="preserve"> Procura com o olhar um objeto que foi tirado de seu campo visual.</t>
  </si>
  <si>
    <t xml:space="preserve"> Remove um objeto de um recipiente colocando a mão dentro do mesmo.</t>
  </si>
  <si>
    <t xml:space="preserve"> Coloca um objeto em um recipiente imitando um adulto.</t>
  </si>
  <si>
    <t xml:space="preserve"> Coloca um objeto em um recipiente quando recebe instruções.</t>
  </si>
  <si>
    <t xml:space="preserve"> Balança um brinquedo que produz som, pendurado em um barbante.</t>
  </si>
  <si>
    <t xml:space="preserve"> Coloca três objetos em um recipiente e o esvazia.</t>
  </si>
  <si>
    <t xml:space="preserve"> Transfere um objeto de uma mão à outra para apanhar outro objeto.</t>
  </si>
  <si>
    <t xml:space="preserve"> Deixa cair e apanha um brinquedo.</t>
  </si>
  <si>
    <t xml:space="preserve"> Descobre um objeto escondido sob um recipiente.</t>
  </si>
  <si>
    <t xml:space="preserve"> Empurra 3 blocos como se fosse um comboio.</t>
  </si>
  <si>
    <t xml:space="preserve"> Remove um círculo de uma prancha, por imitação.</t>
  </si>
  <si>
    <t xml:space="preserve"> Coloca um pino redondo em uma prancha de pinos, quando solicitado.</t>
  </si>
  <si>
    <t xml:space="preserve"> Executa gestos simples quando requisitado</t>
  </si>
  <si>
    <t>Retira 6 objetos de um recipiente, um por vez.</t>
  </si>
  <si>
    <t xml:space="preserve"> Aponta para uma parte do corpo.</t>
  </si>
  <si>
    <t xml:space="preserve"> Empilha 3 blocos, dada a ordem.</t>
  </si>
  <si>
    <t xml:space="preserve"> Emparelha objetos semelhantes.</t>
  </si>
  <si>
    <t xml:space="preserve"> Faz rabiscos no papel.</t>
  </si>
  <si>
    <t>Aponta para si quando perguntam "Cadê o Fulano?"</t>
  </si>
  <si>
    <t xml:space="preserve"> Coloca 5 pinos redondos, dada a ordem.</t>
  </si>
  <si>
    <t xml:space="preserve"> Aponta para a figura nomeada.</t>
  </si>
  <si>
    <t>Encontra determinado livro quando solicitado.</t>
  </si>
  <si>
    <t xml:space="preserve"> Completa um quebra cabeça de encaixe de 3 peças.</t>
  </si>
  <si>
    <t xml:space="preserve"> Nomeia 4 objetos comuns em figuras.</t>
  </si>
  <si>
    <t xml:space="preserve"> Desenha uma linha vertical imitando um adulto.</t>
  </si>
  <si>
    <t xml:space="preserve"> Desenha uma linha horizontal imitando um adulto.</t>
  </si>
  <si>
    <t xml:space="preserve"> Copia um círculo.</t>
  </si>
  <si>
    <t xml:space="preserve"> Emparelha objetos com a mesma textura.</t>
  </si>
  <si>
    <t xml:space="preserve"> Aponta o "pequeno" e o "grande" quando solicitado.</t>
  </si>
  <si>
    <t xml:space="preserve"> Desenha (+) imitando um adulto.</t>
  </si>
  <si>
    <t xml:space="preserve"> Emparelha 3 cores.</t>
  </si>
  <si>
    <t xml:space="preserve"> Coloca objetos dentro, em cima e em baixo de um recipiente, dada a ordem.</t>
  </si>
  <si>
    <t xml:space="preserve"> Nomeia objetos quando ouve o barulho que fazem.</t>
  </si>
  <si>
    <t xml:space="preserve"> Monta um brinquedo de encaixe de 4 peças.</t>
  </si>
  <si>
    <t xml:space="preserve"> Nomeia ações em figuras ("O que ... está fazendo?").</t>
  </si>
  <si>
    <t xml:space="preserve"> Emparelha forma geométrica com a figura da mesma.</t>
  </si>
  <si>
    <t xml:space="preserve"> Nomeia objetos como sendo grandes ou pequenos.</t>
  </si>
  <si>
    <t xml:space="preserve"> Aponta para 10 partes do corpo quando requisitado.</t>
  </si>
  <si>
    <t xml:space="preserve"> Aponta para menino e menina, dada a ordem.</t>
  </si>
  <si>
    <t xml:space="preserve"> Diz se um objeto é pesado ou leve.</t>
  </si>
  <si>
    <t xml:space="preserve"> Une 2 partes de uma figura para formar o todo.</t>
  </si>
  <si>
    <t xml:space="preserve"> Repete brincadeiras (rimas ou canções) que envolvam movimentos coordenados.</t>
  </si>
  <si>
    <t xml:space="preserve"> Emparelha 3 ou mais objetos.</t>
  </si>
  <si>
    <t xml:space="preserve"> Aponta para objetos compridos ou curtos.</t>
  </si>
  <si>
    <t xml:space="preserve"> Conta até 3 imitando um adulto.</t>
  </si>
  <si>
    <t xml:space="preserve"> Agrupa objetos em categorias.</t>
  </si>
  <si>
    <t xml:space="preserve"> Traça um (V) em imitação.</t>
  </si>
  <si>
    <t xml:space="preserve"> Conta até 10 objetos, imitando um adulto.</t>
  </si>
  <si>
    <t xml:space="preserve"> Constrói uma ponte com 3 blocos por imitação.</t>
  </si>
  <si>
    <t xml:space="preserve"> Emparelha uma sequência ou padrão (tamanho, cor) de blocos ou contas.</t>
  </si>
  <si>
    <t xml:space="preserve"> Copia uma série de (V) interligados.</t>
  </si>
  <si>
    <t xml:space="preserve"> Acrescenta perna ou braço em um desenho incompleto da figura humana.</t>
  </si>
  <si>
    <t xml:space="preserve"> Indica se os objetos são iguais ou diferentes.</t>
  </si>
  <si>
    <t xml:space="preserve"> Desenha um quadrado imitando um adulto.</t>
  </si>
  <si>
    <t xml:space="preserve"> Nomeia 3 cores sendo requisitado.</t>
  </si>
  <si>
    <t xml:space="preserve"> Nomeia 3 formas geométricas (quadrado, triângulo e círculo).</t>
  </si>
  <si>
    <t xml:space="preserve"> Apanha de 1 a 5 objetos quando solicitado.</t>
  </si>
  <si>
    <t xml:space="preserve"> Nomeia 5 texturas diferentes.</t>
  </si>
  <si>
    <t xml:space="preserve"> Copia um triângulo ao ser requisitado.</t>
  </si>
  <si>
    <t>Recorda se de 4 objetos que haviam sido vistos em uma figura.</t>
  </si>
  <si>
    <t xml:space="preserve"> Diz o momento do dia associado a cada atividade.</t>
  </si>
  <si>
    <t>Repete rimas familiares.</t>
  </si>
  <si>
    <t xml:space="preserve"> Diz se um objeto é mais pesado ou mais leve (objetos com diferença de 0,5 quilo).</t>
  </si>
  <si>
    <t xml:space="preserve"> Diz o que está faltando quando um objeto é retirado de um grupo de 3 objetos.</t>
  </si>
  <si>
    <t xml:space="preserve"> Nomeia 8 cores.</t>
  </si>
  <si>
    <t xml:space="preserve"> Identifica o valor de 3 moedas.</t>
  </si>
  <si>
    <t xml:space="preserve"> Emparelha símbolos (letras e números).</t>
  </si>
  <si>
    <t xml:space="preserve"> Diz a cor de objetos nomeados.</t>
  </si>
  <si>
    <t xml:space="preserve"> Relata 5 principais fatos de uma história contada 3x.</t>
  </si>
  <si>
    <t xml:space="preserve"> Desenha figura humana (cabeça, tronco e 4 membros)</t>
  </si>
  <si>
    <t xml:space="preserve"> Canta 5 estrofes de uma canção.</t>
  </si>
  <si>
    <t>Constrói uma pirâmide de 10 blocos por imitação.</t>
  </si>
  <si>
    <t xml:space="preserve"> Nomeia objetos como sendo compridos ou curtos.</t>
  </si>
  <si>
    <t xml:space="preserve"> Coloca objetos "atrás", "ao lado" ou "junto" a outros.</t>
  </si>
  <si>
    <t xml:space="preserve"> Faz conjuntos iguais de 10 objetos, segundo modelo.</t>
  </si>
  <si>
    <t xml:space="preserve"> Nomeia ou aponta para a parte ausente da figura.</t>
  </si>
  <si>
    <t xml:space="preserve"> Conta de 1 a 20.</t>
  </si>
  <si>
    <t xml:space="preserve"> Identifica o objeto que está colocado no meio, em primeiro e em último lugar.</t>
  </si>
  <si>
    <t xml:space="preserve"> Conta até 20 objetos e responde adequadamente à pergunta: "Quantos ... Você contou?"</t>
  </si>
  <si>
    <t xml:space="preserve"> Nomeia 10 numerais.</t>
  </si>
  <si>
    <t xml:space="preserve"> Identifica qual a sua esquerda e qual a sua direita.</t>
  </si>
  <si>
    <t xml:space="preserve"> Diz as vogais em ordem.</t>
  </si>
  <si>
    <t xml:space="preserve"> Escreve seu nome com letras de forma.</t>
  </si>
  <si>
    <t xml:space="preserve"> Nomeia 5 letras do alfabeto.</t>
  </si>
  <si>
    <t xml:space="preserve"> Ordena objetos em sequência de comprimento e largura.</t>
  </si>
  <si>
    <t xml:space="preserve"> Nomeia as letras maiúsculas do alfabeto.</t>
  </si>
  <si>
    <t xml:space="preserve"> Coloca numerais de 1 a 10 na sequência correta.</t>
  </si>
  <si>
    <t xml:space="preserve"> Identifica a posição de objetos em 1º, 2º e 3º lugar.</t>
  </si>
  <si>
    <t xml:space="preserve"> Nomeia as letras minúsculas do alfabeto.</t>
  </si>
  <si>
    <t xml:space="preserve"> Emparelha letras maiúsculas com minúsculas.</t>
  </si>
  <si>
    <t xml:space="preserve"> Aponta para numerais de 1 a 25.</t>
  </si>
  <si>
    <t>Copia um losango.</t>
  </si>
  <si>
    <t xml:space="preserve"> Completa um labirinto simples.</t>
  </si>
  <si>
    <t xml:space="preserve"> Diz os dias da semana na ordem.</t>
  </si>
  <si>
    <t xml:space="preserve"> Soma e subtrai combinações de até 3 elementos.</t>
  </si>
  <si>
    <t xml:space="preserve"> Diz o mês e o dia de seu aniversário.</t>
  </si>
  <si>
    <t>Lê 10 palavras impressas.</t>
  </si>
  <si>
    <t xml:space="preserve"> Prediz o que vai ocorrer.</t>
  </si>
  <si>
    <t xml:space="preserve"> Aponta para objetos inteiros e partidos ao meio.</t>
  </si>
  <si>
    <t xml:space="preserve"> Suga e deglute líquidos.</t>
  </si>
  <si>
    <t xml:space="preserve"> Toma mingau / sopinha.</t>
  </si>
  <si>
    <t xml:space="preserve"> Come alimentos liquidificados dados pelos pais.</t>
  </si>
  <si>
    <t xml:space="preserve"> Segura a mamadeira sem ajuda enquanto bebe.</t>
  </si>
  <si>
    <t xml:space="preserve"> Come alimentos amassados dados pelos pais.</t>
  </si>
  <si>
    <t xml:space="preserve"> Bebe em uma caneca, segurada pelos pais.</t>
  </si>
  <si>
    <t xml:space="preserve"> Come alimentos semissólidos dados pelos pais.</t>
  </si>
  <si>
    <t xml:space="preserve"> Alimenta se sozinho usando os dedos.</t>
  </si>
  <si>
    <t xml:space="preserve"> Segura a caneca com ambas as mãos e bebe.</t>
  </si>
  <si>
    <t xml:space="preserve"> Leva a colher cheia de comida até a boca com ajuda.</t>
  </si>
  <si>
    <t xml:space="preserve"> Estica braços e pernas ao ser vestido.</t>
  </si>
  <si>
    <t xml:space="preserve"> Leva a mamadeira até a boca ou a recusa, empurrando-a</t>
  </si>
  <si>
    <t xml:space="preserve"> Come com colher de modo independente</t>
  </si>
  <si>
    <t xml:space="preserve"> Segura a caneca com uma só mão e bebe.</t>
  </si>
  <si>
    <t xml:space="preserve"> Senta</t>
  </si>
  <si>
    <t xml:space="preserve"> Coloca um chapéu na cabeça e o remove.</t>
  </si>
  <si>
    <t xml:space="preserve"> Tira as meias.</t>
  </si>
  <si>
    <t xml:space="preserve"> Empurra os braços pelas mangas e os pés pelas pernas da calça.</t>
  </si>
  <si>
    <t>Tira os sapatos quando os cordões estiverem desamarrados</t>
  </si>
  <si>
    <t xml:space="preserve"> Tira o casaco quando desabotoado.</t>
  </si>
  <si>
    <t>Tira a calça quando desabotoada.</t>
  </si>
  <si>
    <t xml:space="preserve"> Puxa um fecho grande para cima e para baixo.</t>
  </si>
  <si>
    <t xml:space="preserve"> Utiliza palavras ou gestos indicando necessidade de ir ao banheiro.</t>
  </si>
  <si>
    <t xml:space="preserve"> Coloca a mão na água e dá tapinhas no rosto com as mãos molhadas, imitando alguém.</t>
  </si>
  <si>
    <t xml:space="preserve"> Alimenta se sozinho usando colher ou caneca, derrubando um pouco de comida ou derramando pouco líquido.</t>
  </si>
  <si>
    <t xml:space="preserve"> Quando recebe uma toalha enxuga as mãos e o rosto com ajuda.</t>
  </si>
  <si>
    <t xml:space="preserve"> Suga líquido do copo ou caneca usando canudinho.</t>
  </si>
  <si>
    <t xml:space="preserve"> Dá garfadas.</t>
  </si>
  <si>
    <t xml:space="preserve"> Mastiga e engole apenas substâncias comestíveis.</t>
  </si>
  <si>
    <t xml:space="preserve"> Enxuga as mãos sem ajuda ao lhe darem uma toalha.</t>
  </si>
  <si>
    <t xml:space="preserve"> Avisa que quer ir ao banheiro, mesmo sendo tarde demais.</t>
  </si>
  <si>
    <t xml:space="preserve"> Controla sua baba.</t>
  </si>
  <si>
    <t xml:space="preserve"> Urina ou defeca quando colocado no piniquinho pelo menos 3 vezes por semana.</t>
  </si>
  <si>
    <t>Calça os sapatos.</t>
  </si>
  <si>
    <t xml:space="preserve"> Escova os dentes imitando um adulto.</t>
  </si>
  <si>
    <t xml:space="preserve"> Retira roupas simples que foram desabotoadas.</t>
  </si>
  <si>
    <t xml:space="preserve"> Usa o banheiro para defecar (falha apenas 1x por semana).</t>
  </si>
  <si>
    <t xml:space="preserve"> Obtém água de uma torneira sem ajuda.</t>
  </si>
  <si>
    <t xml:space="preserve"> Lava as mãos e o rosto com um sabonete.</t>
  </si>
  <si>
    <t xml:space="preserve"> Avisa que quer ir ao banheiro durante o dia a tempo.</t>
  </si>
  <si>
    <t xml:space="preserve"> Pendura o casaco em um gancho da sua altura.</t>
  </si>
  <si>
    <t xml:space="preserve"> Permanece seco ao dormir durante o dia.</t>
  </si>
  <si>
    <t xml:space="preserve"> Evita riscos, por ex: pontas em móveis e escadas sem corrimão.</t>
  </si>
  <si>
    <t xml:space="preserve"> Usa guardanapo quando recomendado.</t>
  </si>
  <si>
    <t xml:space="preserve"> Espeta o garfo na comida, levando a a boca.</t>
  </si>
  <si>
    <t xml:space="preserve"> Despeja líquido de uma peq. jarra para o copo sem ajuda.</t>
  </si>
  <si>
    <t xml:space="preserve"> Desprende roupas presas com o feixe de pressão.</t>
  </si>
  <si>
    <t xml:space="preserve"> Lava seus braços e pernas ao lhe darem banho.</t>
  </si>
  <si>
    <t xml:space="preserve"> Coloca meias.</t>
  </si>
  <si>
    <t xml:space="preserve"> Veste casaco, malha ou camisa.</t>
  </si>
  <si>
    <t xml:space="preserve"> Identifica a parte dianteira da roupa</t>
  </si>
  <si>
    <t xml:space="preserve"> Alimenta se sozinho por toda a refeição.</t>
  </si>
  <si>
    <t xml:space="preserve"> Veste se só, precisando de ajuda apenas quanto há malhas ou camisetas com golas fechadas ou botões e fechos.</t>
  </si>
  <si>
    <t xml:space="preserve"> Enxuga o nariz quando lembrado.</t>
  </si>
  <si>
    <t xml:space="preserve"> Acorda seco 2 manhãs por semana.</t>
  </si>
  <si>
    <t xml:space="preserve"> Se menino, urina no sanitário, em pé.</t>
  </si>
  <si>
    <t xml:space="preserve"> Veste se e despe se sozinho, exceto quanto à botões e fechos em 75% das vezes.</t>
  </si>
  <si>
    <t xml:space="preserve"> Fecha a roupa com fechos de pressão ou de gancho.</t>
  </si>
  <si>
    <t xml:space="preserve"> Assoa o nariz quando lembrado.</t>
  </si>
  <si>
    <t xml:space="preserve"> Evita perigos corriqueiros, por ex: caco de vidro.</t>
  </si>
  <si>
    <t xml:space="preserve"> Pendura roupa no cabide e põe no armário quando pedem.</t>
  </si>
  <si>
    <t xml:space="preserve"> Escova os dentes quando recebe instrução.</t>
  </si>
  <si>
    <t xml:space="preserve"> Coloca luvas.</t>
  </si>
  <si>
    <t xml:space="preserve"> Desabotoa botões grandes.</t>
  </si>
  <si>
    <t xml:space="preserve"> Abotoa botões grandes.</t>
  </si>
  <si>
    <t xml:space="preserve"> Calça botas.</t>
  </si>
  <si>
    <t xml:space="preserve"> Limpa o que derramou por conta própria.</t>
  </si>
  <si>
    <t xml:space="preserve"> Evita veneno e todas as substâncias prejudiciais.</t>
  </si>
  <si>
    <t xml:space="preserve"> Desabotoa sua roupa.</t>
  </si>
  <si>
    <t xml:space="preserve"> Abotoa sua roupa.</t>
  </si>
  <si>
    <t xml:space="preserve"> Retira prato e talheres da mesa.</t>
  </si>
  <si>
    <t xml:space="preserve"> Encaixa fecho em sua terminação.</t>
  </si>
  <si>
    <t xml:space="preserve"> Lava as mãos e o rosto.</t>
  </si>
  <si>
    <t xml:space="preserve"> Usa talher apropriado para alimentar</t>
  </si>
  <si>
    <t>Acorda de noite para ir ao banheiro, ou acorda seco se.</t>
  </si>
  <si>
    <t xml:space="preserve"> Limpa e assua o nariz em 75% das vezes sem ser lembrado</t>
  </si>
  <si>
    <t xml:space="preserve"> Toma banho só, precisando de ajuda apenas para lavar as costas, pescoço e orelhas.</t>
  </si>
  <si>
    <t>Usa faca para espalhar manteiga no pão.</t>
  </si>
  <si>
    <t xml:space="preserve"> Aperta e afrouxa cintos ou fivelas.</t>
  </si>
  <si>
    <t xml:space="preserve"> Veste se sozinho, mas não dá laços.</t>
  </si>
  <si>
    <t xml:space="preserve"> Serve se à mesa enquanto seguram a travessa de comida.</t>
  </si>
  <si>
    <t xml:space="preserve">  Ajuda a pôr a mesa corretamente quando recebe instruções.</t>
  </si>
  <si>
    <t xml:space="preserve"> Escova os dentes.</t>
  </si>
  <si>
    <t xml:space="preserve"> Vai ao banheiro a tempo, retira a roupa, usa papel higiênico, dá descarga e veste se sem ajuda.</t>
  </si>
  <si>
    <t>Penteia ou escova cabelos.</t>
  </si>
  <si>
    <t>Pendura roupas em cabides.</t>
  </si>
  <si>
    <t xml:space="preserve"> Anda pela vizinhança sem constante supervisão.</t>
  </si>
  <si>
    <t>Enfia cordões em sapatos.</t>
  </si>
  <si>
    <t>Amarra ou dá laços nos cordões dos sapatos.</t>
  </si>
  <si>
    <t xml:space="preserve"> É responsável por uma tarefa semanal e a executa ao ser lembrado.</t>
  </si>
  <si>
    <t xml:space="preserve"> Seleciona roupas apropriadas ao clima e ocasião.</t>
  </si>
  <si>
    <t xml:space="preserve"> Pára no passeio, olha para ambos os lados, e atravessa a rua sem precisar ser lembrado.</t>
  </si>
  <si>
    <t xml:space="preserve"> Serve se à mesa e passa aos demais a panela de comida.</t>
  </si>
  <si>
    <t xml:space="preserve"> Prepara sua própria caneca de café com leite.</t>
  </si>
  <si>
    <t xml:space="preserve"> É responsável por uma tarefa diária em casa.</t>
  </si>
  <si>
    <t>Ajusta a temperatura da água para o banho.</t>
  </si>
  <si>
    <t xml:space="preserve"> Prepara seu próprio lanche.</t>
  </si>
  <si>
    <t xml:space="preserve"> Anda sozinho até a distância de 2 quadras de casa.</t>
  </si>
  <si>
    <t xml:space="preserve"> Corta alimentos tenros com faca.</t>
  </si>
  <si>
    <t xml:space="preserve"> Encontra o banheiro em local público, corretamente.</t>
  </si>
  <si>
    <t xml:space="preserve"> Abre a embalagem de leite.</t>
  </si>
  <si>
    <t xml:space="preserve"> Apanha uma bandeja com comida, levando</t>
  </si>
  <si>
    <t xml:space="preserve"> Amarra os cordões em casacos com capuz.</t>
  </si>
  <si>
    <t xml:space="preserve"> Aperta o cinto de segurança do automóvel.</t>
  </si>
  <si>
    <t>Fica em pé com o mínimo de apoio.</t>
  </si>
  <si>
    <t xml:space="preserve"> Alcança um objeto colocado à sua frente (15 a 20 cm.).</t>
  </si>
  <si>
    <t xml:space="preserve"> Apanha um objeto colocado à sua frente (8 cm.).</t>
  </si>
  <si>
    <t xml:space="preserve"> Estende os braços em direção a um objeto à sua frente e o apanha.</t>
  </si>
  <si>
    <t xml:space="preserve"> Alcança um objeto preferido.</t>
  </si>
  <si>
    <t xml:space="preserve"> Coloca objetos na boca.</t>
  </si>
  <si>
    <t xml:space="preserve"> Vira a cabeça com facilidade quando o corpo está apoiado.</t>
  </si>
  <si>
    <t xml:space="preserve"> Solta um objeto para apanhar outro.</t>
  </si>
  <si>
    <t xml:space="preserve"> Apanha e deixa cair um objeto propositalmente.</t>
  </si>
  <si>
    <t xml:space="preserve"> Fica em pé com o máximo de apoio.</t>
  </si>
  <si>
    <t xml:space="preserve"> Estando sentado, vira de gatinhas.</t>
  </si>
  <si>
    <t xml:space="preserve"> Atira objetos ao acaso.</t>
  </si>
  <si>
    <t xml:space="preserve"> Balança para frente e para trás quando de gatinhas.</t>
  </si>
  <si>
    <t xml:space="preserve"> Transfere objetos de uma mão para outra quando sentado.</t>
  </si>
  <si>
    <t>Retém em uma das mãos 2 cubos de 2,5 cm.</t>
  </si>
  <si>
    <t xml:space="preserve"> Fica de joelhos.</t>
  </si>
  <si>
    <t>Fica em pé, apoiando se em algo.</t>
  </si>
  <si>
    <t xml:space="preserve"> Usa preensão de pinça para pegar objetos.</t>
  </si>
  <si>
    <t xml:space="preserve"> Engatinha.</t>
  </si>
  <si>
    <t xml:space="preserve"> Lambe a comida ao redor da boca.</t>
  </si>
  <si>
    <t xml:space="preserve"> Mantém se em pé sozinho por um minuto.</t>
  </si>
  <si>
    <t xml:space="preserve"> Derruba um objeto que está dentro de um recipiente.</t>
  </si>
  <si>
    <t xml:space="preserve"> Escava com uma colher ou pá.</t>
  </si>
  <si>
    <t xml:space="preserve"> Coloca pequenos objetos dentro do recipiente.</t>
  </si>
  <si>
    <t xml:space="preserve"> Estando de pé, abaixa se e senta.</t>
  </si>
  <si>
    <t xml:space="preserve"> Bate palmas.</t>
  </si>
  <si>
    <t xml:space="preserve"> Anda com um mínimo de apoio.</t>
  </si>
  <si>
    <t xml:space="preserve"> Dá alguns passos sem apoio</t>
  </si>
  <si>
    <t xml:space="preserve"> Sobe escadas engatinhando.</t>
  </si>
  <si>
    <t xml:space="preserve"> Rola uma bola imitando um adulto.</t>
  </si>
  <si>
    <t xml:space="preserve"> Coloca 4 aros em uma pequena estaca.</t>
  </si>
  <si>
    <t xml:space="preserve"> Encaixa pinos de 2,5 cm em uma prancha de encaixe.</t>
  </si>
  <si>
    <t xml:space="preserve"> Constrói uma torre de 3 blocos.</t>
  </si>
  <si>
    <t>Faz traços no papel com lápis ou lápis de cera.</t>
  </si>
  <si>
    <t xml:space="preserve"> Anda sozinho.</t>
  </si>
  <si>
    <t>Desce escadas sentado, colocando primeiro os pés.</t>
  </si>
  <si>
    <t xml:space="preserve"> Empurra e puxa brinquedos ao andar.</t>
  </si>
  <si>
    <t>Usa cadeira ou cavalo de balanço.</t>
  </si>
  <si>
    <t xml:space="preserve"> Sobe escadas com ajuda.</t>
  </si>
  <si>
    <t xml:space="preserve"> Dobra o corpo sem cair para apanhar objetos no chão.</t>
  </si>
  <si>
    <t xml:space="preserve"> Imita um movimento circular.</t>
  </si>
  <si>
    <t>Retira pinos de 2,5 cm de uma prancha ou tabuleiro.</t>
  </si>
  <si>
    <t xml:space="preserve"> Enfia 4 contas grandes em um cordão em 2 minutos.</t>
  </si>
  <si>
    <t xml:space="preserve"> Vira trincos ou maçanetas em portas.</t>
  </si>
  <si>
    <t xml:space="preserve"> Salta no mesmo local com ambos os pés.</t>
  </si>
  <si>
    <t xml:space="preserve"> Anda de costas.</t>
  </si>
  <si>
    <t xml:space="preserve"> Desce escadas sem ajuda.</t>
  </si>
  <si>
    <t xml:space="preserve"> Constrói uma torre de 5 a 6 blocos.</t>
  </si>
  <si>
    <t xml:space="preserve"> Vira páginas de um livro, uma por vez.</t>
  </si>
  <si>
    <t xml:space="preserve"> Desembrulha um pequeno objeto.</t>
  </si>
  <si>
    <t xml:space="preserve"> Dobra um papel ao meio, imitando um adulto.</t>
  </si>
  <si>
    <t xml:space="preserve"> Desmancha e reconstrói brinquedos de encaixe por pressão.</t>
  </si>
  <si>
    <t xml:space="preserve"> Desenrosca brinquedos que se encaixam por roscas.</t>
  </si>
  <si>
    <t xml:space="preserve"> Chuta uma bola grande que está imóvel.</t>
  </si>
  <si>
    <t xml:space="preserve"> Faz bolas de argila, barro ou massinha.</t>
  </si>
  <si>
    <t xml:space="preserve"> Segura o lápis entre o polegar e o indicador, apoiando o sobre o dedo médio.</t>
  </si>
  <si>
    <t xml:space="preserve"> Dá cambalhota para frente com ajuda.</t>
  </si>
  <si>
    <t xml:space="preserve"> Dá marteladas para encaixar 5 pinos em seus orifícios.</t>
  </si>
  <si>
    <t xml:space="preserve"> Faz um quebra cabeça de 3 peças</t>
  </si>
  <si>
    <t xml:space="preserve"> Corta algo em pedaços com tesoura.</t>
  </si>
  <si>
    <t xml:space="preserve"> Pula de uma altura de 20 cm.</t>
  </si>
  <si>
    <t xml:space="preserve"> Chuta uma bola grande quando enviada para si.</t>
  </si>
  <si>
    <t xml:space="preserve"> Anda na ponta dos pés.</t>
  </si>
  <si>
    <t xml:space="preserve"> Corre 10 passos coordenando e alternando o movimento dos braços e pés.</t>
  </si>
  <si>
    <t xml:space="preserve"> Balança em um balanço quando este está em movimento.</t>
  </si>
  <si>
    <t xml:space="preserve"> Sobe em um escorregador de 1,20m a 1,80m e escorrega.</t>
  </si>
  <si>
    <t xml:space="preserve"> Dá cambalhotas para frente.</t>
  </si>
  <si>
    <t xml:space="preserve"> Sobe escadas alternando os pés.</t>
  </si>
  <si>
    <t xml:space="preserve"> Marcha (anda de forma ritmada).</t>
  </si>
  <si>
    <t xml:space="preserve"> Desenha figuras seguindo contornos ou pontilhados.</t>
  </si>
  <si>
    <t xml:space="preserve"> Recorta ao longo de uma linha reta 20 cm, afastando se pouco da linha.</t>
  </si>
  <si>
    <t xml:space="preserve"> Fica em um só pé sem apoio por 4 a 8 segundos.</t>
  </si>
  <si>
    <t xml:space="preserve"> Muda de direção ao correr.</t>
  </si>
  <si>
    <t>Anda sobre uma viga ou tábua, mantendo o equilíbrio.</t>
  </si>
  <si>
    <t xml:space="preserve"> Pula para frente 10 vezes sem cair.</t>
  </si>
  <si>
    <t>Salta sobre uma corda suspensa a 5 cm do solo.</t>
  </si>
  <si>
    <t xml:space="preserve"> Pula de costas 6 vezes.</t>
  </si>
  <si>
    <t xml:space="preserve"> Rebate e apanha uma bola grande.</t>
  </si>
  <si>
    <t>Une 2 a 3 pedaços de massa de modelar.</t>
  </si>
  <si>
    <t xml:space="preserve"> Recorta em torno de linhas curvas.</t>
  </si>
  <si>
    <t xml:space="preserve"> Encaixa objetos de rosca.</t>
  </si>
  <si>
    <t xml:space="preserve"> Desce escadas alternando os pés.</t>
  </si>
  <si>
    <t xml:space="preserve"> Pedala um triciclo fazendo curvas.</t>
  </si>
  <si>
    <t xml:space="preserve"> Salta em um só pé 5 vezes consecutivas.</t>
  </si>
  <si>
    <t xml:space="preserve"> Recorta um círculo em 5 cm.</t>
  </si>
  <si>
    <t xml:space="preserve"> Desenha figuras simples facilmente identificáveis (por ex: casa).</t>
  </si>
  <si>
    <t>Recorta e cola formas simples.</t>
  </si>
  <si>
    <t xml:space="preserve"> Escreve letras de imprensa maiúsculas, isoladas e grandes em qualquer lugar do papel.</t>
  </si>
  <si>
    <t xml:space="preserve"> Anda sobre uma tábua para trás, para frente e para os lados, mantendo o equilíbrio.</t>
  </si>
  <si>
    <t xml:space="preserve"> Caminha saltitando.</t>
  </si>
  <si>
    <t xml:space="preserve"> Balança em um balanço iniciando e mantendo o movimento.</t>
  </si>
  <si>
    <t xml:space="preserve"> Estica os dedos tocando o polegar em cada um deles.</t>
  </si>
  <si>
    <t xml:space="preserve"> Copia letras maiúsculas.</t>
  </si>
  <si>
    <t xml:space="preserve"> Sobe em escadas de mão ou de escorregador de 3 m.</t>
  </si>
  <si>
    <t xml:space="preserve"> Bate em um prego com martelo.</t>
  </si>
  <si>
    <t xml:space="preserve"> Rebate a bola à medida que anda com direção.</t>
  </si>
  <si>
    <t xml:space="preserve"> Consegue colorir sem sair da margem em 95% das vezes.</t>
  </si>
  <si>
    <t xml:space="preserve"> Recorta figuras sem sair mais que 6 mm da margem.</t>
  </si>
  <si>
    <t xml:space="preserve"> Usa apontador de lápis.</t>
  </si>
  <si>
    <t xml:space="preserve"> Copia desenhos complexos (escola, navio)</t>
  </si>
  <si>
    <t xml:space="preserve"> Rasga figuras simples de um papel.</t>
  </si>
  <si>
    <t xml:space="preserve"> Dobra um papel quadrado 2x em diagonal por imitação.</t>
  </si>
  <si>
    <t xml:space="preserve"> Pula corda sozinho.</t>
  </si>
  <si>
    <t xml:space="preserve"> Golpeia uma bola com um bastão ou pedaço de pau.</t>
  </si>
  <si>
    <t xml:space="preserve"> Apanha um objeto no chão enquanto corre.</t>
  </si>
  <si>
    <t xml:space="preserve"> Patina uma distância de 3 m, ou usa skate.</t>
  </si>
  <si>
    <t xml:space="preserve"> Anda de bicicleta.</t>
  </si>
  <si>
    <t xml:space="preserve"> Escorrega descendo um monte de areia ou terra.</t>
  </si>
  <si>
    <t xml:space="preserve"> Anda ou brinca em piscina tendo água até a cintura.</t>
  </si>
  <si>
    <t xml:space="preserve"> Conduz um patinete dando impulso com um só pé.</t>
  </si>
  <si>
    <t xml:space="preserve"> Salta e gira em um só pé.</t>
  </si>
  <si>
    <t xml:space="preserve"> Escreve seu nome com letras de forma em caderno pautado.</t>
  </si>
  <si>
    <t>Global</t>
  </si>
  <si>
    <t>IDADE MESES</t>
  </si>
  <si>
    <t>INSTIMULAÇÃO INFANTIL 45 ITENS</t>
  </si>
  <si>
    <t>Tabela para cálculo da idade de desenvolvimento - Guia Portage</t>
  </si>
  <si>
    <t>Preencha a idade atual e a pontuação do aluno para cada faixa etária</t>
  </si>
  <si>
    <t>IDADE ATUAL:</t>
  </si>
  <si>
    <t>Faixa etária</t>
  </si>
  <si>
    <t>Auto cuidados</t>
  </si>
  <si>
    <t xml:space="preserve"> Motor</t>
  </si>
  <si>
    <t>0 a 1 ano</t>
  </si>
  <si>
    <t>1 a 2 anos</t>
  </si>
  <si>
    <t>2 a 3 anos</t>
  </si>
  <si>
    <t>3 a 4 anos</t>
  </si>
  <si>
    <t>4 a 5 anos</t>
  </si>
  <si>
    <t>5 a 6 anos</t>
  </si>
  <si>
    <t xml:space="preserve">RESULTADO da Idade calculada </t>
  </si>
  <si>
    <t>Obs: O resultado máximo será sempre 6 anos. Esse é apenas um guia para orientar na criação de atividades, não deve ser utilizado para fins de diagnóstico sem um profissional qualificado. Para mais detalhes, baixe o e-book Como Identificar e Adaptar Atividades para Alunos com Deficiência, no site do Instituto Itard. Tabela criada por Leandro Rodrigues. Email: leandro@institutoitard.com.br</t>
  </si>
  <si>
    <t>Importante:</t>
  </si>
  <si>
    <t>O valor máximo do gráfico é de 6 anos.</t>
  </si>
  <si>
    <t>Lembrete:</t>
  </si>
  <si>
    <t>S = 1 ponto, N = 0 pontos e AV = 0,5 ponto.</t>
  </si>
  <si>
    <t>Olhar e seguir com o olhar uma pessoa em movimento, dentro de 20s após o inicio do movimento.</t>
  </si>
  <si>
    <t>Apresentar qualquer tipo de vocalização dentro de 10s após a "atenção" do adulto.</t>
  </si>
  <si>
    <t>Sorrir dentro de 10s após o adulto dar "atençao".</t>
  </si>
  <si>
    <t>Permanecer olhando por 5s em direção a sua mão, sorrindo ou vocalizando pelo menos uma vez em três tentativas.</t>
  </si>
  <si>
    <t>Responder com sorriso, vocalização ou parar de chorar dentro de 10s após a atenção do familiar.  (Perguntar aos responsáveis)</t>
  </si>
  <si>
    <t xml:space="preserve">Sorrir em resposta à expressão facial dos outros dentro de 10s após tal expressão. </t>
  </si>
  <si>
    <t>Sorrir e vocalizar dentro de 10s ao olhar-se no espelho.</t>
  </si>
  <si>
    <t xml:space="preserve">Tocar no rosto do adulto ou puxar cabelo ou óculos. </t>
  </si>
  <si>
    <t>Estender a mão em relação a um objeto que lhe é oferecido dentro de 20s.</t>
  </si>
  <si>
    <t xml:space="preserve">Estender os braços em direção a pelo menos dois familiares diferentes. </t>
  </si>
  <si>
    <t>Estender a mão e tocar dentro de 20s.</t>
  </si>
  <si>
    <t>Olhar e manupular um objeto por pelo menos 1m, tal resposta deverá ser iniciada dentro de 20s após a apresentação do objeto.</t>
  </si>
  <si>
    <t xml:space="preserve">Entrevista com os responsáveis. </t>
  </si>
  <si>
    <t xml:space="preserve">Imitar dentro de 10s após o modelo do adulto. </t>
  </si>
  <si>
    <t xml:space="preserve">Bater palmas dentro de 10s após o modelo. </t>
  </si>
  <si>
    <t xml:space="preserve">Dentro de 10s após o modelo do adulto. </t>
  </si>
  <si>
    <t>Oferecer e entregar pelo menos uma vez em quatro tentativas.</t>
  </si>
  <si>
    <t xml:space="preserve">Dizer a criança "Dá um beijo na mamãe", por exemplo. Demonstrar por modelo, se necessário. </t>
  </si>
  <si>
    <t>Dentro de 20s após a emissão de seu nome.</t>
  </si>
  <si>
    <t>Se necessário, dar modelo e solicitar a resposta.</t>
  </si>
  <si>
    <t xml:space="preserve">Apresentar vários objetos e quando esta estiver segurando, solicitar de volta. </t>
  </si>
  <si>
    <t>imitar pelo menos dois movimentos diferentes.</t>
  </si>
  <si>
    <t>Imitar em 10s após o modelo.</t>
  </si>
  <si>
    <t>Olhar pelo menos 5 vezes quando alguém lhe der "atenção" por 2 à 3 min.</t>
  </si>
  <si>
    <t>Brincar ao lado de outra criança por 15 à 20 min.</t>
  </si>
  <si>
    <t>Permanecer por 2 à 5 min compartilhando o mesmo objeto com outra criança.</t>
  </si>
  <si>
    <t>Entrevista com o responsável.</t>
  </si>
  <si>
    <t>Dar modelo e solocitar a resposta. A criança precisa dar pelo menos 5 passos, abraçando e carregando o objeto.</t>
  </si>
  <si>
    <t xml:space="preserve">Repetir pelo menos em duas ocasiões diferentes, ações que produzam riso ou atenção. </t>
  </si>
  <si>
    <t xml:space="preserve">Por pelo menos 2 min. </t>
  </si>
  <si>
    <t xml:space="preserve"> Puxa uma pessoa para mostrar-lhe alguma ação ou objeto.</t>
  </si>
  <si>
    <t>Espera por 2 à 5 min</t>
  </si>
  <si>
    <t>Pelo menos 2 colegas ou adultos familiares quando lembrado.</t>
  </si>
  <si>
    <t>Pegar um dos objetos oferecidos e permanecer com este sem trocá-lo.</t>
  </si>
  <si>
    <t xml:space="preserve">Emitir pelo menos duas palavras ou ações que expressem a compreensão dos sentimentos. </t>
  </si>
  <si>
    <t>Cumprimentar pessoas familiares, sem ser lembrada, em pelo menos duas situações diferentes.</t>
  </si>
  <si>
    <t>Entrevista com os responsáveis.</t>
  </si>
  <si>
    <t xml:space="preserve"> Diz "Por favor" e "Obrigado" sem ser lembrado 50% das vezes.</t>
  </si>
  <si>
    <t>Pedir ajuda pelo menos uma vez, na última semana.</t>
  </si>
  <si>
    <t xml:space="preserve">Entrevista com os responsáveis </t>
  </si>
  <si>
    <t xml:space="preserve"> Brinca com 2 a 3 crianças por 20 min. Em uma atividade que envolva cooperação.</t>
  </si>
  <si>
    <t xml:space="preserve"> Manifesta seus sentimentos: raiva, felicidade, amor, etc.</t>
  </si>
  <si>
    <t>Apresentar os comportamentos de acordo com a situação: sorrir, abraçar, beijar, chorar... Manifestar pelo menos dois sentimentos diferentes: raiva e amor.</t>
  </si>
  <si>
    <t>Imitar pelo menos dois papeis diferentes de adultos.</t>
  </si>
  <si>
    <t>Dar instruções à criança sem executar a atividade.</t>
  </si>
  <si>
    <t>Atingir pelo menos duas metas diferentes.</t>
  </si>
  <si>
    <t>Produzir sons curtos uma ou duas vezes. Repetir sons semelhantes ao modelo dentro de 1 min.</t>
  </si>
  <si>
    <t xml:space="preserve"> Repete a mesma sílaba 2 a 3 vezes. (ma, ma, ma).</t>
  </si>
  <si>
    <t xml:space="preserve">Responder a pelo menos dois gestos diferentes, com gestos, exemplo: dar tchau, aplaudir, mover a cabeça negativamente "não", estender os braços para ser pego, jogar um beijo, etc. </t>
  </si>
  <si>
    <t xml:space="preserve">Imitar pelo menos dois padrões de entonação de voz diferentes. </t>
  </si>
  <si>
    <t xml:space="preserve">Apresentar qualquer tipo de vocalização 1 à 2s após a fala de outra pessoa.  </t>
  </si>
  <si>
    <t xml:space="preserve"> Responde à pergunta "O que é isto?" com o nome do objeto. </t>
  </si>
  <si>
    <t xml:space="preserve">Nomeia 5 membros da família, incluindo animais domésticos. </t>
  </si>
  <si>
    <t xml:space="preserve">Apresentar pelo menos 3 frases que combinam substantivos ou adjetivos e substantivos. </t>
  </si>
  <si>
    <t xml:space="preserve">Apresenta pelo menos 3 frases de duas palavras que combinem substantivo e verbo. </t>
  </si>
  <si>
    <t>Formar frases de duas a três palavras contendo a palavra "não".</t>
  </si>
  <si>
    <t xml:space="preserve">Nomear pelo menos três diferentes sons ambientais familiares. </t>
  </si>
  <si>
    <t>Perguntar à criança: " Me mostre com os dedos quantos anos você tem".</t>
  </si>
  <si>
    <t xml:space="preserve">Empregar "é" e "está" em pelo menos três frases simples sendo que pelo menos  uma frase deva envolver o verbo ser/estar.  </t>
  </si>
  <si>
    <t xml:space="preserve">Usar pelo menos um artigo definido e um indefinido ao falar. </t>
  </si>
  <si>
    <t xml:space="preserve">Falar pelo menos três substantivos diferentes que indiquem grupo ou categoria (brinquedo, comida, animal). </t>
  </si>
  <si>
    <t>Abrir ou fechar os objetos e perguntar à criança "tal objeto está aberto ou fechado?"</t>
  </si>
  <si>
    <t xml:space="preserve"> Presta atenção por 5 minutos a uma história lida.</t>
  </si>
  <si>
    <t xml:space="preserve">Responder adequadamente a pelo menos 3 questões simples a respeito da história lida. </t>
  </si>
  <si>
    <t xml:space="preserve">Experiências que estão ocorrendo no mesmo momento em que a questão é feita. </t>
  </si>
  <si>
    <t>Fazer com que a criança o observe realizando duas atividades e pedir para ela descrever o que você fez na ordem correta.</t>
  </si>
  <si>
    <t xml:space="preserve">Obdecer a uma sequência de 3 ordens que envolva pelo menos mais de um objeto. </t>
  </si>
  <si>
    <t xml:space="preserve"> Demonstra compreensão de verbos reflexivos, usando-os ocasionalmente ao falar (ele se machucou).</t>
  </si>
  <si>
    <t xml:space="preserve">Conseguir identificar a parte de cima e de baixo de pelo menos 3 objetos diferentes. </t>
  </si>
  <si>
    <t>Emprega, ocasionalmente, o condicional ao falar (poderia, pudesse, iria, seria,faria).</t>
  </si>
  <si>
    <t xml:space="preserve">"O que tem de errado nesta figura?", responder adequadamente, apontando ou verbalizando sobre a situação absurda. </t>
  </si>
  <si>
    <t>"O que (nome) é seu?"</t>
  </si>
  <si>
    <t xml:space="preserve">Completar pelo menos 3 frases diferentes com antônimos. </t>
  </si>
  <si>
    <t xml:space="preserve"> Em uma figura, nomeia o objeto que não pertence a uma determinada categoria (o que não é bicho, etc).</t>
  </si>
  <si>
    <t xml:space="preserve">Usar pelo menos duas frases complexas compostas por subordinação. </t>
  </si>
  <si>
    <t xml:space="preserve"> Responde à pergunta "Por quê" com uma explicação.</t>
  </si>
  <si>
    <t xml:space="preserve"> Ordena e conta uma história de 2 a 5 episódios na sequência correta.</t>
  </si>
  <si>
    <t>Definir pelo menos 3 palavras diferentes.</t>
  </si>
  <si>
    <t>Identificando adequadamente pelo menos um efeito consequente.</t>
  </si>
  <si>
    <t xml:space="preserve"> Usa "ontem" e “amanhã’, corretamente.</t>
  </si>
  <si>
    <t xml:space="preserve">Pergunta o significado de palavras novas ou desconhecidas </t>
  </si>
  <si>
    <t xml:space="preserve">Colocar a criança deitada ou sentada e o objeto distante 15 a 20cm da criança. Esta precisa percorrer com os olhos o percurso do obejto ou virar a cabeça em direção ao local em que o objeto está escondido. </t>
  </si>
  <si>
    <t xml:space="preserve">Colocar o objeto dentro de 60s após a apresentação do modelo. </t>
  </si>
  <si>
    <t xml:space="preserve">Colocar o objeto dentro de 60s após a apresentação das instruções. </t>
  </si>
  <si>
    <t xml:space="preserve">Em 20s após a sua apresentação. </t>
  </si>
  <si>
    <t xml:space="preserve"> A resposta deverá ocorrer dentro de 20s após os blocos terem sido apresentados.</t>
  </si>
  <si>
    <t>Dar modela à criança, acompanhado de instrução.</t>
  </si>
  <si>
    <t xml:space="preserve">Emparelhar pelo menos 3 diferentes pares de objetos. </t>
  </si>
  <si>
    <t xml:space="preserve">Dar modelo e solicitar a resposta (qualquer tipo de rabisco). </t>
  </si>
  <si>
    <t xml:space="preserve">Se necessário, fazer a pergunta colocando a criança frente ao espelho, ou apresentando-lhe uma fotografia de si mesma.  </t>
  </si>
  <si>
    <t>Em 60s após a apresentação dos mesmos.</t>
  </si>
  <si>
    <t xml:space="preserve"> Emparelha objetos com a figura do mesmo objeto.</t>
  </si>
  <si>
    <t>Emparelhar pelo menos 3 objetos diferente com suas respectivas figuras.</t>
  </si>
  <si>
    <t xml:space="preserve"> Vira as páginas de um livro (2 à 3 de cada vez) para encontrar a figura nomeada.</t>
  </si>
  <si>
    <t>Em 20s após a apresentação de cada figura.</t>
  </si>
  <si>
    <t>O modelo de linha dado pelo adulto não deve exceder 5 cm. O traço pode ser maior do que o do adulto, mas deverá ter no mínimo 3 cm de comprimento. Este não deve se desviar do modelo mais do que 30 graus.</t>
  </si>
  <si>
    <t xml:space="preserve">Apresentar à criança uma folha com um círculo já desenhado (4 cm de diâmetro). Peça a criança para copiar um desenho igual, sem dar sugestões adicionais. A resposta será dada como correta para qualquer forma ovalada fechada, que não seja acompanhada de movimentos concêntricos contínuos. </t>
  </si>
  <si>
    <t>O modelo apresentado não deve ser maior que 4 cm. As linhas não precisam estar retas, mas devem se intersectar.</t>
  </si>
  <si>
    <t>Em 20s após a solicitação de cada resposta.</t>
  </si>
  <si>
    <t>Em 20s após cada pergunta.</t>
  </si>
  <si>
    <t xml:space="preserve"> Empilha 5 ou mais argolas em uma vara na ordem correta. </t>
  </si>
  <si>
    <t xml:space="preserve"> Descreve 2 eventos ou personagens de uma história familiar ou programa de televisão.</t>
  </si>
  <si>
    <t xml:space="preserve">Fazer perguntas à criança semelhantes a: "O que acontece na história/programa x, quando...?" "Quem aparece no programa/história x?" "Como é o nome do personagem?" "Como é ele?", etc. </t>
  </si>
  <si>
    <t>Repetir uma rima ou canção produzindo movimentos coordenados ou gestos.</t>
  </si>
  <si>
    <t>Em 60s por tentativa.</t>
  </si>
  <si>
    <t>Apontar pelo menos 5 objetos diferentes compridos e curtos.</t>
  </si>
  <si>
    <t xml:space="preserve"> Diz quais objetos aparecem frequentemente juntos. Ex: meia/sapato.</t>
  </si>
  <si>
    <t>Dispor 3 objetos frente à criança e dar o modelo.</t>
  </si>
  <si>
    <t xml:space="preserve">Traçar um "V" diante da criança, seno que tal traçado não deve ser maior do que 4 cm. </t>
  </si>
  <si>
    <t xml:space="preserve"> Traça uma linha diagonal ligando os dois cantos de um papel de 10 cm, dado o modelo.</t>
  </si>
  <si>
    <t xml:space="preserve">Cada tentativa consiste em copiar uma série de no mínimo 9 "Vs" intercalados. </t>
  </si>
  <si>
    <t xml:space="preserve"> Completa um quebra cabeças de 6 peças sem ensaio e erro. </t>
  </si>
  <si>
    <t xml:space="preserve">"Isto é igual a isto?" deve responder corretamente, afirmando ou negando, em 20s após cada pergunta. </t>
  </si>
  <si>
    <t xml:space="preserve">Pode ser maior ou menos do que o modelo, desde que apresente os 4 cantos. </t>
  </si>
  <si>
    <t xml:space="preserve">Em 20s após cada pergunta: "Este objeto é duro, macio, liso, aspero, etc?". </t>
  </si>
  <si>
    <t xml:space="preserve">Pode ser maior ou menos do que o modelo, desde que apresente os 3 cantos. </t>
  </si>
  <si>
    <t>Mostrar à criança a figura por 30s, em seguida esconder ou fechar o livro e solictar a resposta.</t>
  </si>
  <si>
    <t>Dizer o momento do dia = se é de dia, ou à noite em que uma atividade ocorre.</t>
  </si>
  <si>
    <t>Perguntar ao responsável.</t>
  </si>
  <si>
    <t xml:space="preserve">Por exemplo: "De que cor é a sua casa?". A criança deve responder adequadamente a cor sem ver o objeto em até 20s.  </t>
  </si>
  <si>
    <t xml:space="preserve">Responder adequadamente a pelo menos 3 perguntas envolvendo três diferentes objetos. </t>
  </si>
  <si>
    <t xml:space="preserve">Dar modelo à criança, envolvendo diferentes números de objetos (1, 3, 7 e 4) e solicitar a ela que emparelhe (ou faça um conjunto) com o mesmo número de objetos. A criança deve fazer 3 conjuntos de objetos de números diferentes segundo o modelo, sendo que um dos modelos apresentados deverá envolver 10 objetos.  </t>
  </si>
  <si>
    <t xml:space="preserve">Apresentar à criança uma folha com losango de 4 cm, previamente traçado e solicitar a resposta. O losango deverá ser formado por linhas que se interceptam, sendo seus ângulos nítidos. </t>
  </si>
  <si>
    <t xml:space="preserve"> Conta de memória de 1 a 100.</t>
  </si>
  <si>
    <t xml:space="preserve">Pedir para a criança contar até a 100. Se esta não apresentar erros por volta da 3ª dezena interrompê-la e pedir que continue a partir do número 80. </t>
  </si>
  <si>
    <t xml:space="preserve"> Estende as mãos em direção a mamadeira, tentando pegá-la</t>
  </si>
  <si>
    <t>Em até 20s após a apresentação do objeto.</t>
  </si>
  <si>
    <t>Segurar o objeto com uma ou ambas as mãos, de forma a erguê-lo, mesmo que este caia logo em seguida.</t>
  </si>
  <si>
    <t>Objeto deve ser colocado cerca de 15 a 20 cm.</t>
  </si>
  <si>
    <t xml:space="preserve">Objeto deve ser colocado acima de sua cabeça numa distância de 15 a 20 cm. </t>
  </si>
  <si>
    <t>Toca e explora objetos com a boca.</t>
  </si>
  <si>
    <t>Eleva a cabeça e o tronco apoiando-se nos braços, ao estar deitado de barriga para baixo.</t>
  </si>
  <si>
    <t>Levanta a cabeça e o tronco apoiando-se em um só braço.</t>
  </si>
  <si>
    <t xml:space="preserve"> Estando de barriga para baixo, vira de lado e mantém esta posição em 50% das vezes.</t>
  </si>
  <si>
    <t>Três vezes corretas em 6 tentativas.</t>
  </si>
  <si>
    <t xml:space="preserve"> Estando de barriga para baixo, vira de costas.</t>
  </si>
  <si>
    <t>Colocar um objeto no campo visual da criança e movê-lo para o lado oposto de seu rosto.</t>
  </si>
  <si>
    <t xml:space="preserve"> Estando de barriga para baixo, move-se para frente. </t>
  </si>
  <si>
    <t xml:space="preserve"> Deitado de costas, rola para o lado.</t>
  </si>
  <si>
    <t xml:space="preserve">Rolar para o lado, no máximo um minuto após a apresentação de um brinquedo. </t>
  </si>
  <si>
    <t>Deitado de costas, vira de barriga para baixo.</t>
  </si>
  <si>
    <t xml:space="preserve">Virar de barriga para baixo, no máximo um minuto após a apresentação de um brinquedo. </t>
  </si>
  <si>
    <t xml:space="preserve"> Faz esforço para sentar-se, segurando-se nos dedos se um adulto.</t>
  </si>
  <si>
    <t xml:space="preserve">Criança inicialmente deitada. </t>
  </si>
  <si>
    <t xml:space="preserve"> Mantém-se sentado por 2 minutos.</t>
  </si>
  <si>
    <t>Colocar no mínimo 2 objetos próximos à criança.</t>
  </si>
  <si>
    <t>Criança segurada por um adulto (com ambas as mãos) pela cintura ou sob os ombros.</t>
  </si>
  <si>
    <t>Estando em pé com apoio, pula para cima e para baixo.</t>
  </si>
  <si>
    <t xml:space="preserve"> Engatinha para apanhar um objeto (distância igual à altura do corpo).</t>
  </si>
  <si>
    <t>Engatinhar, e não arrastar-se.</t>
  </si>
  <si>
    <t xml:space="preserve"> Senta-se, apoiando-se sozinho.</t>
  </si>
  <si>
    <t xml:space="preserve"> Estando em barriga para baixo, consegue sentar-se.</t>
  </si>
  <si>
    <t xml:space="preserve"> Senta-se sem o apoio das mãos.</t>
  </si>
  <si>
    <t>Permanecer sentado por 2 min, sem apoiar-se nas mãos.</t>
  </si>
  <si>
    <t>Estando de pé, sentada ou de gatinhas, ajoelha-se.</t>
  </si>
  <si>
    <t xml:space="preserve">No máximo dentro de 1 min após a apresentação dos objetos. </t>
  </si>
  <si>
    <t xml:space="preserve"> Estando de gatinhas, estende uma das mãos para o alto ntando alcançar algo.</t>
  </si>
  <si>
    <t>Permanece em pé durante 30s.</t>
  </si>
  <si>
    <t xml:space="preserve"> Vira páginas de um livro (várias ao mesmo tempo).</t>
  </si>
  <si>
    <t>Se necessário, o adulto pode segurar o livro para a criança.</t>
  </si>
  <si>
    <t>Sentar frente à criança, bater palma (modelo) e pedir para que ela faça igual.</t>
  </si>
  <si>
    <t>Dar 5 passos sem apoio em 1 min.</t>
  </si>
  <si>
    <t xml:space="preserve"> Coloca-se em pé, estando sentado.</t>
  </si>
  <si>
    <t>Sobe em uma cadeira de adulto, vira-se e senta-se.</t>
  </si>
  <si>
    <t>Dar modelo.</t>
  </si>
  <si>
    <t>Dar modelo. Sem ajuda.</t>
  </si>
  <si>
    <t>A resposta tem que ocorrer em 20s após apresentação dos blocos.</t>
  </si>
  <si>
    <t xml:space="preserve"> Senta-se em uma cadeirinha.</t>
  </si>
  <si>
    <t xml:space="preserve"> Agacha-se e volta a ficar em pé.</t>
  </si>
  <si>
    <t xml:space="preserve"> Atira uma bola a um adulto a 1,5 m de distância.</t>
  </si>
  <si>
    <t>Sem se apoiar e sem cair.</t>
  </si>
  <si>
    <t>Se necessário, dar modelo.</t>
  </si>
  <si>
    <t>Sem apoio e sem cair.</t>
  </si>
  <si>
    <t xml:space="preserve"> Pedala com triciclo a distância de 1,5 m.</t>
  </si>
  <si>
    <t>Dá 10 passos de forma ritmada, sem tombar para os lados.</t>
  </si>
  <si>
    <t xml:space="preserve"> Apanha a bola com ambas as mãos.</t>
  </si>
  <si>
    <t>Situar-se na frente da criança numa distância de 1m e jogar a bola em sua direção.</t>
  </si>
  <si>
    <t>10 passos saltitando.</t>
  </si>
  <si>
    <t>Dar 10 passos rebatendo uma bola no chão, com direção.</t>
  </si>
  <si>
    <t xml:space="preserve"> Apara uma bola leve com uma só mão.</t>
  </si>
  <si>
    <t>Sem ajuda e sem modelo.</t>
  </si>
  <si>
    <t xml:space="preserve"> Salta de uma altura de 30 cm e "aterrisa" na planta dos pés.</t>
  </si>
  <si>
    <t xml:space="preserve"> Pára em um só pé, sem apoio, com olhos fechados, por 10 segundos.</t>
  </si>
  <si>
    <t xml:space="preserve"> Dependura-se por 10 segundos em uma barra horizontal.</t>
  </si>
  <si>
    <t>s</t>
  </si>
  <si>
    <t>IDADE COGNITIVA</t>
  </si>
  <si>
    <t>0 a 1</t>
  </si>
  <si>
    <t>1 a 2</t>
  </si>
  <si>
    <t>2 a 3</t>
  </si>
  <si>
    <t>3 a 4</t>
  </si>
  <si>
    <t>4 a 5</t>
  </si>
  <si>
    <t>5 a 6</t>
  </si>
  <si>
    <t>Autos Cuidados</t>
  </si>
  <si>
    <t>Desenvolvimento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</si>
</sst>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B4C6E7"/>
        <bgColor rgb="FFB4C6E7"/>
      </patternFill>
    </fill>
    <fill>
      <patternFill patternType="solid">
        <fgColor rgb="FFAEABAB"/>
        <bgColor rgb="FFAEABA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5" fillId="0" borderId="1"/>
  </cellStyleXfs>
  <cellXfs count="121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6" borderId="1" xfId="0" applyFont="1" applyFill="1" applyBorder="1"/>
    <xf numFmtId="10" fontId="9" fillId="0" borderId="0" xfId="0" applyNumberFormat="1" applyFont="1" applyAlignment="1">
      <alignment horizontal="center" vertical="center" wrapText="1"/>
    </xf>
    <xf numFmtId="0" fontId="9" fillId="0" borderId="1" xfId="0" applyFont="1" applyBorder="1"/>
    <xf numFmtId="0" fontId="9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16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16" fontId="11" fillId="5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7" fontId="11" fillId="4" borderId="2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16" fontId="11" fillId="7" borderId="2" xfId="0" applyNumberFormat="1" applyFont="1" applyFill="1" applyBorder="1" applyAlignment="1">
      <alignment horizontal="center" vertical="center" wrapText="1"/>
    </xf>
    <xf numFmtId="17" fontId="11" fillId="7" borderId="2" xfId="0" applyNumberFormat="1" applyFont="1" applyFill="1" applyBorder="1" applyAlignment="1">
      <alignment horizontal="center"/>
    </xf>
    <xf numFmtId="17" fontId="11" fillId="5" borderId="2" xfId="0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vertical="center" wrapText="1"/>
    </xf>
    <xf numFmtId="16" fontId="11" fillId="8" borderId="2" xfId="0" applyNumberFormat="1" applyFont="1" applyFill="1" applyBorder="1" applyAlignment="1">
      <alignment horizontal="center" vertical="center" wrapText="1"/>
    </xf>
    <xf numFmtId="17" fontId="11" fillId="8" borderId="2" xfId="0" applyNumberFormat="1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vertical="center" wrapText="1"/>
    </xf>
    <xf numFmtId="17" fontId="11" fillId="9" borderId="2" xfId="0" applyNumberFormat="1" applyFont="1" applyFill="1" applyBorder="1" applyAlignment="1">
      <alignment horizontal="center"/>
    </xf>
    <xf numFmtId="16" fontId="11" fillId="9" borderId="2" xfId="0" applyNumberFormat="1" applyFont="1" applyFill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9" fontId="9" fillId="7" borderId="2" xfId="1" applyFont="1" applyFill="1" applyBorder="1" applyAlignment="1">
      <alignment horizontal="center" vertical="center" wrapText="1"/>
    </xf>
    <xf numFmtId="9" fontId="9" fillId="5" borderId="2" xfId="1" applyFont="1" applyFill="1" applyBorder="1" applyAlignment="1">
      <alignment horizontal="center" vertical="center" wrapText="1"/>
    </xf>
    <xf numFmtId="9" fontId="9" fillId="8" borderId="2" xfId="1" applyFont="1" applyFill="1" applyBorder="1" applyAlignment="1">
      <alignment horizontal="center" vertical="center" wrapText="1"/>
    </xf>
    <xf numFmtId="9" fontId="9" fillId="9" borderId="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11" borderId="2" xfId="0" applyFont="1" applyFill="1" applyBorder="1"/>
    <xf numFmtId="0" fontId="0" fillId="0" borderId="2" xfId="0" applyBorder="1"/>
    <xf numFmtId="0" fontId="14" fillId="11" borderId="2" xfId="0" applyFont="1" applyFill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11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11" fillId="3" borderId="8" xfId="0" applyFont="1" applyFill="1" applyBorder="1" applyAlignment="1">
      <alignment horizontal="center" vertical="center"/>
    </xf>
    <xf numFmtId="0" fontId="5" fillId="0" borderId="1" xfId="2"/>
    <xf numFmtId="0" fontId="18" fillId="0" borderId="2" xfId="2" applyFont="1" applyBorder="1" applyAlignment="1">
      <alignment horizontal="right" vertical="center"/>
    </xf>
    <xf numFmtId="0" fontId="15" fillId="0" borderId="2" xfId="2" applyFont="1" applyBorder="1" applyAlignment="1" applyProtection="1">
      <alignment horizontal="center" vertical="center"/>
      <protection locked="0"/>
    </xf>
    <xf numFmtId="0" fontId="5" fillId="0" borderId="2" xfId="2" applyBorder="1" applyAlignment="1">
      <alignment horizontal="center" vertical="center" wrapText="1"/>
    </xf>
    <xf numFmtId="0" fontId="5" fillId="12" borderId="2" xfId="2" applyFill="1" applyBorder="1" applyAlignment="1">
      <alignment horizontal="center" vertical="center" wrapText="1"/>
    </xf>
    <xf numFmtId="0" fontId="5" fillId="13" borderId="2" xfId="2" applyFill="1" applyBorder="1" applyAlignment="1">
      <alignment horizontal="center" vertical="center" wrapText="1"/>
    </xf>
    <xf numFmtId="0" fontId="5" fillId="14" borderId="2" xfId="2" applyFill="1" applyBorder="1" applyAlignment="1">
      <alignment horizontal="center" vertical="center" wrapText="1"/>
    </xf>
    <xf numFmtId="0" fontId="5" fillId="15" borderId="2" xfId="2" applyFill="1" applyBorder="1" applyAlignment="1">
      <alignment horizontal="center" vertical="center" wrapText="1"/>
    </xf>
    <xf numFmtId="0" fontId="5" fillId="16" borderId="2" xfId="2" applyFill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center"/>
    </xf>
    <xf numFmtId="0" fontId="5" fillId="17" borderId="2" xfId="2" applyFill="1" applyBorder="1" applyAlignment="1" applyProtection="1">
      <alignment horizontal="center" vertical="center"/>
      <protection locked="0"/>
    </xf>
    <xf numFmtId="0" fontId="5" fillId="18" borderId="2" xfId="2" applyFill="1" applyBorder="1" applyAlignment="1" applyProtection="1">
      <alignment horizontal="center" vertical="center"/>
      <protection locked="0"/>
    </xf>
    <xf numFmtId="0" fontId="5" fillId="19" borderId="2" xfId="2" applyFill="1" applyBorder="1" applyAlignment="1" applyProtection="1">
      <alignment horizontal="center" vertical="center"/>
      <protection locked="0"/>
    </xf>
    <xf numFmtId="0" fontId="5" fillId="20" borderId="2" xfId="2" applyFill="1" applyBorder="1" applyAlignment="1" applyProtection="1">
      <alignment horizontal="center" vertical="center"/>
      <protection locked="0"/>
    </xf>
    <xf numFmtId="0" fontId="5" fillId="21" borderId="2" xfId="2" applyFill="1" applyBorder="1" applyAlignment="1" applyProtection="1">
      <alignment horizontal="center" vertical="center"/>
      <protection locked="0"/>
    </xf>
    <xf numFmtId="0" fontId="19" fillId="0" borderId="8" xfId="2" applyFont="1" applyBorder="1" applyAlignment="1">
      <alignment horizontal="left" vertical="center"/>
    </xf>
    <xf numFmtId="0" fontId="5" fillId="17" borderId="8" xfId="2" applyFill="1" applyBorder="1" applyAlignment="1" applyProtection="1">
      <alignment horizontal="center" vertical="center"/>
      <protection locked="0"/>
    </xf>
    <xf numFmtId="0" fontId="5" fillId="18" borderId="8" xfId="2" applyFill="1" applyBorder="1" applyAlignment="1" applyProtection="1">
      <alignment horizontal="center" vertical="center"/>
      <protection locked="0"/>
    </xf>
    <xf numFmtId="0" fontId="5" fillId="19" borderId="8" xfId="2" applyFill="1" applyBorder="1" applyAlignment="1" applyProtection="1">
      <alignment horizontal="center" vertical="center"/>
      <protection locked="0"/>
    </xf>
    <xf numFmtId="0" fontId="5" fillId="20" borderId="8" xfId="2" applyFill="1" applyBorder="1" applyAlignment="1" applyProtection="1">
      <alignment horizontal="center" vertical="center"/>
      <protection locked="0"/>
    </xf>
    <xf numFmtId="0" fontId="5" fillId="21" borderId="8" xfId="2" applyFill="1" applyBorder="1" applyAlignment="1" applyProtection="1">
      <alignment horizontal="center" vertical="center"/>
      <protection locked="0"/>
    </xf>
    <xf numFmtId="0" fontId="20" fillId="0" borderId="12" xfId="2" applyFont="1" applyBorder="1" applyAlignment="1">
      <alignment vertical="center" wrapText="1"/>
    </xf>
    <xf numFmtId="0" fontId="14" fillId="0" borderId="12" xfId="2" applyFont="1" applyBorder="1" applyAlignment="1">
      <alignment horizontal="center" vertical="center" wrapText="1"/>
    </xf>
    <xf numFmtId="0" fontId="22" fillId="22" borderId="1" xfId="2" applyFont="1" applyFill="1" applyAlignment="1" applyProtection="1">
      <alignment wrapText="1"/>
      <protection hidden="1"/>
    </xf>
    <xf numFmtId="0" fontId="16" fillId="0" borderId="1" xfId="2" applyFont="1"/>
    <xf numFmtId="0" fontId="15" fillId="0" borderId="1" xfId="2" applyFont="1"/>
    <xf numFmtId="0" fontId="23" fillId="0" borderId="1" xfId="2" applyFon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23" borderId="7" xfId="0" applyFont="1" applyFill="1" applyBorder="1"/>
    <xf numFmtId="0" fontId="0" fillId="23" borderId="7" xfId="0" applyFill="1" applyBorder="1"/>
    <xf numFmtId="0" fontId="0" fillId="23" borderId="0" xfId="0" applyFill="1"/>
    <xf numFmtId="0" fontId="0" fillId="0" borderId="7" xfId="0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2" fillId="0" borderId="2" xfId="0" applyFont="1" applyBorder="1" applyAlignment="1">
      <alignment horizontal="center" vertical="center"/>
    </xf>
    <xf numFmtId="0" fontId="5" fillId="19" borderId="2" xfId="2" applyFill="1" applyBorder="1" applyAlignment="1">
      <alignment horizontal="center" vertical="center"/>
    </xf>
    <xf numFmtId="0" fontId="5" fillId="19" borderId="8" xfId="2" applyFill="1" applyBorder="1" applyAlignment="1">
      <alignment horizontal="center" vertical="center"/>
    </xf>
    <xf numFmtId="1" fontId="14" fillId="0" borderId="12" xfId="2" applyNumberFormat="1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12" borderId="2" xfId="2" applyFont="1" applyFill="1" applyBorder="1" applyAlignment="1">
      <alignment horizontal="center" vertical="center" wrapText="1"/>
    </xf>
    <xf numFmtId="0" fontId="15" fillId="13" borderId="2" xfId="2" applyFont="1" applyFill="1" applyBorder="1" applyAlignment="1">
      <alignment horizontal="center" vertical="center" wrapText="1"/>
    </xf>
    <xf numFmtId="0" fontId="15" fillId="14" borderId="2" xfId="2" applyFont="1" applyFill="1" applyBorder="1" applyAlignment="1">
      <alignment horizontal="center" vertical="center" wrapText="1"/>
    </xf>
    <xf numFmtId="0" fontId="15" fillId="15" borderId="2" xfId="2" applyFont="1" applyFill="1" applyBorder="1" applyAlignment="1">
      <alignment horizontal="center" vertical="center" wrapText="1"/>
    </xf>
    <xf numFmtId="0" fontId="15" fillId="16" borderId="2" xfId="2" applyFont="1" applyFill="1" applyBorder="1" applyAlignment="1">
      <alignment horizontal="center" vertical="center" wrapText="1"/>
    </xf>
    <xf numFmtId="0" fontId="15" fillId="24" borderId="2" xfId="2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/>
    </xf>
    <xf numFmtId="9" fontId="5" fillId="17" borderId="2" xfId="1" applyFont="1" applyFill="1" applyBorder="1" applyAlignment="1" applyProtection="1">
      <alignment horizontal="center" vertical="center"/>
      <protection locked="0"/>
    </xf>
    <xf numFmtId="9" fontId="5" fillId="18" borderId="2" xfId="1" applyFont="1" applyFill="1" applyBorder="1" applyAlignment="1" applyProtection="1">
      <alignment horizontal="center" vertical="center"/>
      <protection locked="0"/>
    </xf>
    <xf numFmtId="9" fontId="5" fillId="19" borderId="2" xfId="1" applyFont="1" applyFill="1" applyBorder="1" applyAlignment="1" applyProtection="1">
      <alignment horizontal="center" vertical="center"/>
    </xf>
    <xf numFmtId="9" fontId="5" fillId="20" borderId="2" xfId="1" applyFont="1" applyFill="1" applyBorder="1" applyAlignment="1" applyProtection="1">
      <alignment horizontal="center" vertical="center"/>
      <protection locked="0"/>
    </xf>
    <xf numFmtId="9" fontId="5" fillId="21" borderId="2" xfId="1" applyFont="1" applyFill="1" applyBorder="1" applyAlignment="1" applyProtection="1">
      <alignment horizontal="center" vertical="center"/>
      <protection locked="0"/>
    </xf>
    <xf numFmtId="0" fontId="27" fillId="0" borderId="2" xfId="2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>
      <alignment horizontal="center" vertical="center" wrapText="1"/>
    </xf>
    <xf numFmtId="9" fontId="14" fillId="0" borderId="13" xfId="1" applyFont="1" applyBorder="1" applyAlignment="1">
      <alignment horizontal="center" vertical="center" wrapText="1"/>
    </xf>
    <xf numFmtId="0" fontId="13" fillId="10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0" borderId="1" xfId="2" applyFont="1" applyAlignment="1">
      <alignment horizontal="center" vertical="center"/>
    </xf>
    <xf numFmtId="0" fontId="14" fillId="0" borderId="1" xfId="2" applyFont="1" applyAlignment="1">
      <alignment horizontal="center" vertical="center"/>
    </xf>
    <xf numFmtId="0" fontId="17" fillId="0" borderId="10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21" fillId="0" borderId="1" xfId="2" applyFont="1" applyAlignment="1">
      <alignment wrapText="1"/>
    </xf>
    <xf numFmtId="0" fontId="11" fillId="3" borderId="2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/>
    </xf>
    <xf numFmtId="0" fontId="17" fillId="0" borderId="11" xfId="2" applyFont="1" applyBorder="1" applyAlignment="1">
      <alignment horizontal="center" vertical="center"/>
    </xf>
    <xf numFmtId="0" fontId="21" fillId="0" borderId="1" xfId="2" applyFont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avaliação Portage - </a:t>
            </a:r>
            <a:r>
              <a:rPr lang="pt-BR" b="1"/>
              <a:t>4-5 anos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4"/>
          <c:order val="4"/>
          <c:tx>
            <c:v>4-5 anos %</c:v>
          </c:tx>
          <c:invertIfNegative val="0"/>
          <c:val>
            <c:numRef>
              <c:f>Resultados!#REF!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Resultados!#REF!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60B-4701-8EFD-6813B6EE0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09888"/>
        <c:axId val="193911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0-1 ano %</c:v>
                </c:tx>
                <c:spPr>
                  <a:solidFill>
                    <a:srgbClr val="4472C4"/>
                  </a:solidFill>
                  <a:ln>
                    <a:noFill/>
                  </a:ln>
                  <a:effectLst/>
                </c:spPr>
                <c:invertIfNegative val="1"/>
                <c:val>
                  <c:numRef>
                    <c:extLst>
                      <c:ext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noFill/>
                        </a:ln>
                        <a:effectLst/>
                      </c14:spPr>
                    </c14:invertSolidFillFmt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A60B-4701-8EFD-6813B6EE088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1-2 anos %</c:v>
                </c:tx>
                <c:spPr>
                  <a:solidFill>
                    <a:srgbClr val="ED7D31"/>
                  </a:solidFill>
                  <a:ln>
                    <a:noFill/>
                  </a:ln>
                  <a:effectLst/>
                </c:spPr>
                <c:invertIfNegative val="1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noFill/>
                        </a:ln>
                        <a:effectLst/>
                      </c14:spPr>
                    </c14:invertSolidFillFmt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A60B-4701-8EFD-6813B6EE088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2-3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A60B-4701-8EFD-6813B6EE088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v>3-4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A60B-4701-8EFD-6813B6EE088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5-6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A60B-4701-8EFD-6813B6EE0889}"/>
                  </c:ext>
                </c:extLst>
              </c15:ser>
            </c15:filteredBarSeries>
          </c:ext>
        </c:extLst>
      </c:barChart>
      <c:catAx>
        <c:axId val="19390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911808"/>
        <c:crosses val="autoZero"/>
        <c:auto val="1"/>
        <c:lblAlgn val="ctr"/>
        <c:lblOffset val="100"/>
        <c:noMultiLvlLbl val="1"/>
      </c:catAx>
      <c:valAx>
        <c:axId val="1939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9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avaliação Portage - </a:t>
            </a:r>
            <a:r>
              <a:rPr lang="pt-BR" b="1"/>
              <a:t>5-6 anos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5"/>
          <c:order val="5"/>
          <c:tx>
            <c:v>5-6 anos %</c:v>
          </c:tx>
          <c:invertIfNegative val="0"/>
          <c:val>
            <c:numRef>
              <c:f>Resultados!#REF!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Resultados!#REF!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3C6-4B96-B384-A75460FFD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47360"/>
        <c:axId val="195061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0-1 ano %</c:v>
                </c:tx>
                <c:spPr>
                  <a:solidFill>
                    <a:srgbClr val="4472C4"/>
                  </a:solidFill>
                  <a:ln>
                    <a:noFill/>
                  </a:ln>
                  <a:effectLst/>
                </c:spPr>
                <c:invertIfNegative val="1"/>
                <c:val>
                  <c:numRef>
                    <c:extLst>
                      <c:ext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noFill/>
                        </a:ln>
                        <a:effectLst/>
                      </c14:spPr>
                    </c14:invertSolidFillFmt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53C6-4B96-B384-A75460FFD21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1-2 anos %</c:v>
                </c:tx>
                <c:spPr>
                  <a:solidFill>
                    <a:srgbClr val="ED7D31"/>
                  </a:solidFill>
                  <a:ln>
                    <a:noFill/>
                  </a:ln>
                  <a:effectLst/>
                </c:spPr>
                <c:invertIfNegative val="1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noFill/>
                        </a:ln>
                        <a:effectLst/>
                      </c14:spPr>
                    </c14:invertSolidFillFmt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53C6-4B96-B384-A75460FFD21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2-3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53C6-4B96-B384-A75460FFD2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v>3-4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53C6-4B96-B384-A75460FFD2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v>4-5 anos %</c:v>
                </c:tx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Resultados!#REF!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Resultados!#REF!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53C6-4B96-B384-A75460FFD215}"/>
                  </c:ext>
                </c:extLst>
              </c15:ser>
            </c15:filteredBarSeries>
          </c:ext>
        </c:extLst>
      </c:barChart>
      <c:catAx>
        <c:axId val="19404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61248"/>
        <c:crosses val="autoZero"/>
        <c:auto val="1"/>
        <c:lblAlgn val="ctr"/>
        <c:lblOffset val="100"/>
        <c:noMultiLvlLbl val="1"/>
      </c:catAx>
      <c:valAx>
        <c:axId val="195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/>
              <a:t>Idade de desenvolvimento</a:t>
            </a:r>
          </a:p>
        </c:rich>
      </c:tx>
      <c:layout>
        <c:manualLayout>
          <c:xMode val="edge"/>
          <c:yMode val="edge"/>
          <c:x val="0.2271874453193351"/>
          <c:y val="3.09299280852304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Áreas do desenvolvimento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D7-4681-9C13-EFDDF7566A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D7-4681-9C13-EFDDF7566A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D7-4681-9C13-EFDDF7566A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8D7-4681-9C13-EFDDF7566A2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'Calculo da Idade'!$B$3:$F$3</c:f>
              <c:strCache>
                <c:ptCount val="5"/>
                <c:pt idx="0">
                  <c:v>Socialização</c:v>
                </c:pt>
                <c:pt idx="1">
                  <c:v>Linguagem</c:v>
                </c:pt>
                <c:pt idx="2">
                  <c:v>Cognição</c:v>
                </c:pt>
                <c:pt idx="3">
                  <c:v>Auto cuidados</c:v>
                </c:pt>
                <c:pt idx="4">
                  <c:v> Motor</c:v>
                </c:pt>
              </c:strCache>
            </c:strRef>
          </c:cat>
          <c:val>
            <c:numRef>
              <c:f>'Calculo da Idade'!$B$12:$F$12</c:f>
              <c:numCache>
                <c:formatCode>General</c:formatCode>
                <c:ptCount val="5"/>
                <c:pt idx="0">
                  <c:v>0</c:v>
                </c:pt>
                <c:pt idx="1">
                  <c:v>1.2</c:v>
                </c:pt>
                <c:pt idx="2">
                  <c:v>0.92857142857142849</c:v>
                </c:pt>
                <c:pt idx="3">
                  <c:v>0.38461538461538458</c:v>
                </c:pt>
                <c:pt idx="4">
                  <c:v>8.8888888888888892E-2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7-4681-9C13-EFDDF7566A22}"/>
            </c:ext>
          </c:extLst>
        </c:ser>
        <c:ser>
          <c:idx val="1"/>
          <c:order val="1"/>
          <c:tx>
            <c:v>Idade atual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99D-4502-B712-8FFC3AD8CAA1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9D-4502-B712-8FFC3AD8CAA1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99D-4502-B712-8FFC3AD8CAA1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9D-4502-B712-8FFC3AD8CAA1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99D-4502-B712-8FFC3AD8CA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'Calculo da Idade'!$B$13:$F$13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8D7-4681-9C13-EFDDF7566A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95297280"/>
        <c:axId val="195298816"/>
      </c:barChart>
      <c:catAx>
        <c:axId val="19529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98816"/>
        <c:crosses val="autoZero"/>
        <c:auto val="1"/>
        <c:lblAlgn val="ctr"/>
        <c:lblOffset val="100"/>
        <c:noMultiLvlLbl val="0"/>
      </c:catAx>
      <c:valAx>
        <c:axId val="19529881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97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Socialização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0-1 ano</c:v>
          </c:tx>
          <c:marker>
            <c:symbol val="none"/>
          </c:marker>
          <c:val>
            <c:numRef>
              <c:f>'Acompanhamento contínuo'!$B$12:$G$12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86-47E5-BDB2-BB9315ADAB5A}"/>
            </c:ext>
          </c:extLst>
        </c:ser>
        <c:ser>
          <c:idx val="0"/>
          <c:order val="1"/>
          <c:tx>
            <c:v>1-2 anos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contínuo'!$B$13:$G$13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9-47F6-BB4E-53A2FA2DD1B6}"/>
            </c:ext>
          </c:extLst>
        </c:ser>
        <c:ser>
          <c:idx val="1"/>
          <c:order val="2"/>
          <c:tx>
            <c:v>2-3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contínuo'!$B$14:$G$14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9-47F6-BB4E-53A2FA2DD1B6}"/>
            </c:ext>
          </c:extLst>
        </c:ser>
        <c:ser>
          <c:idx val="3"/>
          <c:order val="3"/>
          <c:tx>
            <c:v>3-4 anos</c:v>
          </c:tx>
          <c:marker>
            <c:symbol val="none"/>
          </c:marker>
          <c:val>
            <c:numRef>
              <c:f>'Acompanhamento contínuo'!$B$15:$G$15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86-47E5-BDB2-BB9315ADAB5A}"/>
            </c:ext>
          </c:extLst>
        </c:ser>
        <c:ser>
          <c:idx val="4"/>
          <c:order val="4"/>
          <c:tx>
            <c:v>4-5 anos</c:v>
          </c:tx>
          <c:marker>
            <c:symbol val="none"/>
          </c:marker>
          <c:val>
            <c:numRef>
              <c:f>'Acompanhamento contínuo'!$B$16:$G$16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86-47E5-BDB2-BB9315ADAB5A}"/>
            </c:ext>
          </c:extLst>
        </c:ser>
        <c:ser>
          <c:idx val="5"/>
          <c:order val="5"/>
          <c:tx>
            <c:v>5-6 anos</c:v>
          </c:tx>
          <c:marker>
            <c:symbol val="none"/>
          </c:marker>
          <c:val>
            <c:numRef>
              <c:f>'Acompanhamento contínuo'!$B$17:$G$17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86-47E5-BDB2-BB9315AD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59104"/>
        <c:axId val="195361024"/>
      </c:lineChart>
      <c:catAx>
        <c:axId val="19535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61024"/>
        <c:crosses val="autoZero"/>
        <c:auto val="1"/>
        <c:lblAlgn val="ctr"/>
        <c:lblOffset val="100"/>
        <c:noMultiLvlLbl val="1"/>
      </c:catAx>
      <c:valAx>
        <c:axId val="195361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Linguagem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0-1 ano</c:v>
          </c:tx>
          <c:marker>
            <c:symbol val="none"/>
          </c:marker>
          <c:val>
            <c:numRef>
              <c:f>'Acompanhamento contínuo'!$B$21:$G$21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9-4D66-BB5B-B35ACF55FBFC}"/>
            </c:ext>
          </c:extLst>
        </c:ser>
        <c:ser>
          <c:idx val="0"/>
          <c:order val="1"/>
          <c:tx>
            <c:v>1-2 anos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contínuo'!$B$22:$G$22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9-4D66-BB5B-B35ACF55FBFC}"/>
            </c:ext>
          </c:extLst>
        </c:ser>
        <c:ser>
          <c:idx val="1"/>
          <c:order val="2"/>
          <c:tx>
            <c:v>2-3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contínuo'!$B$23:$G$23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9-4D66-BB5B-B35ACF55FBFC}"/>
            </c:ext>
          </c:extLst>
        </c:ser>
        <c:ser>
          <c:idx val="3"/>
          <c:order val="3"/>
          <c:tx>
            <c:v>3-4 anos</c:v>
          </c:tx>
          <c:marker>
            <c:symbol val="none"/>
          </c:marker>
          <c:val>
            <c:numRef>
              <c:f>'Acompanhamento contínuo'!$B$24:$G$24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D9-4D66-BB5B-B35ACF55FBFC}"/>
            </c:ext>
          </c:extLst>
        </c:ser>
        <c:ser>
          <c:idx val="4"/>
          <c:order val="4"/>
          <c:tx>
            <c:v>4-5 anos</c:v>
          </c:tx>
          <c:marker>
            <c:symbol val="none"/>
          </c:marker>
          <c:val>
            <c:numRef>
              <c:f>'Acompanhamento contínuo'!$B$25:$G$25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D9-4D66-BB5B-B35ACF55FBFC}"/>
            </c:ext>
          </c:extLst>
        </c:ser>
        <c:ser>
          <c:idx val="5"/>
          <c:order val="5"/>
          <c:tx>
            <c:v>5-6 anos</c:v>
          </c:tx>
          <c:marker>
            <c:symbol val="none"/>
          </c:marker>
          <c:val>
            <c:numRef>
              <c:f>'Acompanhamento contínuo'!$B$26:$G$26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D9-4D66-BB5B-B35ACF55F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51392"/>
        <c:axId val="194253568"/>
      </c:lineChart>
      <c:catAx>
        <c:axId val="1942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53568"/>
        <c:crosses val="autoZero"/>
        <c:auto val="1"/>
        <c:lblAlgn val="ctr"/>
        <c:lblOffset val="100"/>
        <c:noMultiLvlLbl val="1"/>
      </c:catAx>
      <c:valAx>
        <c:axId val="194253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Cognitiva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0-1 ano</c:v>
          </c:tx>
          <c:marker>
            <c:symbol val="none"/>
          </c:marker>
          <c:val>
            <c:numRef>
              <c:f>'Acompanhamento contínuo'!$B$30:$G$30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8-4E3E-A331-73DFB09FCEA9}"/>
            </c:ext>
          </c:extLst>
        </c:ser>
        <c:ser>
          <c:idx val="0"/>
          <c:order val="1"/>
          <c:tx>
            <c:v>1-2 anos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contínuo'!$B$31:$G$31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8-4E3E-A331-73DFB09FCEA9}"/>
            </c:ext>
          </c:extLst>
        </c:ser>
        <c:ser>
          <c:idx val="1"/>
          <c:order val="2"/>
          <c:tx>
            <c:v>2-3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contínuo'!$B$32:$G$32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8-4E3E-A331-73DFB09FCEA9}"/>
            </c:ext>
          </c:extLst>
        </c:ser>
        <c:ser>
          <c:idx val="3"/>
          <c:order val="3"/>
          <c:tx>
            <c:v>3-4 anos</c:v>
          </c:tx>
          <c:marker>
            <c:symbol val="none"/>
          </c:marker>
          <c:val>
            <c:numRef>
              <c:f>'Acompanhamento contínuo'!$B$33:$G$33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98-4E3E-A331-73DFB09FCEA9}"/>
            </c:ext>
          </c:extLst>
        </c:ser>
        <c:ser>
          <c:idx val="4"/>
          <c:order val="4"/>
          <c:tx>
            <c:v>4-5 anos</c:v>
          </c:tx>
          <c:marker>
            <c:symbol val="none"/>
          </c:marker>
          <c:val>
            <c:numRef>
              <c:f>'Acompanhamento contínuo'!$B$34:$G$34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98-4E3E-A331-73DFB09FCEA9}"/>
            </c:ext>
          </c:extLst>
        </c:ser>
        <c:ser>
          <c:idx val="5"/>
          <c:order val="5"/>
          <c:tx>
            <c:v>5-6 anos</c:v>
          </c:tx>
          <c:marker>
            <c:symbol val="none"/>
          </c:marker>
          <c:val>
            <c:numRef>
              <c:f>'Acompanhamento contínuo'!$B$35:$G$35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98-4E3E-A331-73DFB09FC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89664"/>
        <c:axId val="194291584"/>
      </c:lineChart>
      <c:catAx>
        <c:axId val="19428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91584"/>
        <c:crosses val="autoZero"/>
        <c:auto val="1"/>
        <c:lblAlgn val="ctr"/>
        <c:lblOffset val="100"/>
        <c:noMultiLvlLbl val="1"/>
      </c:catAx>
      <c:valAx>
        <c:axId val="194291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Autocuidados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0-1 ano</c:v>
          </c:tx>
          <c:marker>
            <c:symbol val="none"/>
          </c:marker>
          <c:val>
            <c:numRef>
              <c:f>'Acompanhamento contínuo'!$B$39:$G$39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4-44D4-AAC5-CC03F0DC3D43}"/>
            </c:ext>
          </c:extLst>
        </c:ser>
        <c:ser>
          <c:idx val="0"/>
          <c:order val="1"/>
          <c:tx>
            <c:v>1-2 anos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contínuo'!$B$40:$G$40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4-44D4-AAC5-CC03F0DC3D43}"/>
            </c:ext>
          </c:extLst>
        </c:ser>
        <c:ser>
          <c:idx val="1"/>
          <c:order val="2"/>
          <c:tx>
            <c:v>2-3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contínuo'!$B$41:$G$41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64-44D4-AAC5-CC03F0DC3D43}"/>
            </c:ext>
          </c:extLst>
        </c:ser>
        <c:ser>
          <c:idx val="3"/>
          <c:order val="3"/>
          <c:tx>
            <c:v>3-4 anos</c:v>
          </c:tx>
          <c:marker>
            <c:symbol val="none"/>
          </c:marker>
          <c:val>
            <c:numRef>
              <c:f>'Acompanhamento contínuo'!$B$42:$G$42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64-44D4-AAC5-CC03F0DC3D43}"/>
            </c:ext>
          </c:extLst>
        </c:ser>
        <c:ser>
          <c:idx val="4"/>
          <c:order val="4"/>
          <c:tx>
            <c:v>4-5 anos</c:v>
          </c:tx>
          <c:marker>
            <c:symbol val="none"/>
          </c:marker>
          <c:val>
            <c:numRef>
              <c:f>'Acompanhamento contínuo'!$B$43:$G$43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64-44D4-AAC5-CC03F0DC3D43}"/>
            </c:ext>
          </c:extLst>
        </c:ser>
        <c:ser>
          <c:idx val="5"/>
          <c:order val="5"/>
          <c:tx>
            <c:v>5-6 anos</c:v>
          </c:tx>
          <c:marker>
            <c:symbol val="none"/>
          </c:marker>
          <c:val>
            <c:numRef>
              <c:f>'Acompanhamento contínuo'!$B$44:$G$44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64-44D4-AAC5-CC03F0DC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547520"/>
        <c:axId val="195549440"/>
      </c:lineChart>
      <c:catAx>
        <c:axId val="19554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549440"/>
        <c:crosses val="autoZero"/>
        <c:auto val="1"/>
        <c:lblAlgn val="ctr"/>
        <c:lblOffset val="100"/>
        <c:noMultiLvlLbl val="1"/>
      </c:catAx>
      <c:valAx>
        <c:axId val="19554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54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Motora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0-1 ano</c:v>
          </c:tx>
          <c:marker>
            <c:symbol val="none"/>
          </c:marker>
          <c:val>
            <c:numRef>
              <c:f>'Acompanhamento contínuo'!$B$48:$G$48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F-486D-AFBA-B5E751544322}"/>
            </c:ext>
          </c:extLst>
        </c:ser>
        <c:ser>
          <c:idx val="0"/>
          <c:order val="1"/>
          <c:tx>
            <c:v>1-2 anos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contínuo'!$B$49:$G$49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F-486D-AFBA-B5E751544322}"/>
            </c:ext>
          </c:extLst>
        </c:ser>
        <c:ser>
          <c:idx val="1"/>
          <c:order val="2"/>
          <c:tx>
            <c:v>2-3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'Acompanhamento contínuo'!$B$11:$F$11</c:f>
              <c:numCache>
                <c:formatCode>mmm\-yy</c:formatCode>
                <c:ptCount val="5"/>
                <c:pt idx="0">
                  <c:v>44317</c:v>
                </c:pt>
                <c:pt idx="1">
                  <c:v>44409</c:v>
                </c:pt>
                <c:pt idx="2">
                  <c:v>44531</c:v>
                </c:pt>
                <c:pt idx="3">
                  <c:v>44593</c:v>
                </c:pt>
                <c:pt idx="4">
                  <c:v>44682</c:v>
                </c:pt>
              </c:numCache>
            </c:numRef>
          </c:cat>
          <c:val>
            <c:numRef>
              <c:f>'Acompanhamento contínuo'!$B$50:$G$50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F-486D-AFBA-B5E751544322}"/>
            </c:ext>
          </c:extLst>
        </c:ser>
        <c:ser>
          <c:idx val="3"/>
          <c:order val="3"/>
          <c:tx>
            <c:v>3-4 anos</c:v>
          </c:tx>
          <c:marker>
            <c:symbol val="none"/>
          </c:marker>
          <c:val>
            <c:numRef>
              <c:f>'Acompanhamento contínuo'!$B$51:$G$51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0F-486D-AFBA-B5E751544322}"/>
            </c:ext>
          </c:extLst>
        </c:ser>
        <c:ser>
          <c:idx val="4"/>
          <c:order val="4"/>
          <c:tx>
            <c:v>4-5 anos</c:v>
          </c:tx>
          <c:marker>
            <c:symbol val="none"/>
          </c:marker>
          <c:val>
            <c:numRef>
              <c:f>'Acompanhamento contínuo'!$B$52:$G$52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0F-486D-AFBA-B5E751544322}"/>
            </c:ext>
          </c:extLst>
        </c:ser>
        <c:ser>
          <c:idx val="5"/>
          <c:order val="5"/>
          <c:tx>
            <c:v>5-6 anos</c:v>
          </c:tx>
          <c:marker>
            <c:symbol val="none"/>
          </c:marker>
          <c:val>
            <c:numRef>
              <c:f>'Acompanhamento contínuo'!$B$53:$G$53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0F-486D-AFBA-B5E751544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09728"/>
        <c:axId val="195611648"/>
      </c:lineChart>
      <c:catAx>
        <c:axId val="19560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11648"/>
        <c:crosses val="autoZero"/>
        <c:auto val="1"/>
        <c:lblAlgn val="ctr"/>
        <c:lblOffset val="100"/>
        <c:noMultiLvlLbl val="1"/>
      </c:catAx>
      <c:valAx>
        <c:axId val="195611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67</xdr:row>
      <xdr:rowOff>171450</xdr:rowOff>
    </xdr:from>
    <xdr:ext cx="5934075" cy="2714625"/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EEC750BA-DE4D-4311-97A9-AF927901D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83</xdr:row>
      <xdr:rowOff>152400</xdr:rowOff>
    </xdr:from>
    <xdr:ext cx="5934075" cy="2714625"/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63E08EFC-3FCD-4B39-9439-287201444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13</xdr:row>
      <xdr:rowOff>1</xdr:rowOff>
    </xdr:from>
    <xdr:to>
      <xdr:col>4</xdr:col>
      <xdr:colOff>895350</xdr:colOff>
      <xdr:row>31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</xdr:colOff>
      <xdr:row>9</xdr:row>
      <xdr:rowOff>0</xdr:rowOff>
    </xdr:from>
    <xdr:ext cx="5924550" cy="3114675"/>
    <xdr:graphicFrame macro="">
      <xdr:nvGraphicFramePr>
        <xdr:cNvPr id="353922895" name="Chart 3">
          <a:extLst>
            <a:ext uri="{FF2B5EF4-FFF2-40B4-BE49-F238E27FC236}">
              <a16:creationId xmlns:a16="http://schemas.microsoft.com/office/drawing/2014/main" id="{00000000-0008-0000-0100-00004F6F1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26</xdr:row>
      <xdr:rowOff>171450</xdr:rowOff>
    </xdr:from>
    <xdr:ext cx="5924550" cy="307657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433FB6E-193D-486B-AE18-2658E2F80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45</xdr:row>
      <xdr:rowOff>0</xdr:rowOff>
    </xdr:from>
    <xdr:ext cx="5924550" cy="307657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66FD1CD-9645-409A-86CD-26D0AD711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63</xdr:row>
      <xdr:rowOff>0</xdr:rowOff>
    </xdr:from>
    <xdr:ext cx="5924550" cy="30765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0A93D5-8B6F-442A-AFC8-4D4A09D65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0</xdr:colOff>
      <xdr:row>81</xdr:row>
      <xdr:rowOff>9525</xdr:rowOff>
    </xdr:from>
    <xdr:ext cx="5924550" cy="3076575"/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FC1AC95-E402-4D05-9100-9F17340A5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87"/>
  <sheetViews>
    <sheetView zoomScaleNormal="100" workbookViewId="0">
      <selection activeCell="E4" sqref="E4"/>
    </sheetView>
  </sheetViews>
  <sheetFormatPr defaultRowHeight="15" x14ac:dyDescent="0.25"/>
  <cols>
    <col min="1" max="1" width="5.7109375" bestFit="1" customWidth="1"/>
    <col min="2" max="2" width="81" bestFit="1" customWidth="1"/>
    <col min="3" max="3" width="33.5703125" customWidth="1"/>
    <col min="4" max="4" width="12.7109375" customWidth="1"/>
    <col min="5" max="5" width="7.5703125" bestFit="1" customWidth="1"/>
  </cols>
  <sheetData>
    <row r="1" spans="1:13" ht="99.75" customHeight="1" x14ac:dyDescent="0.25">
      <c r="A1" s="101" t="s">
        <v>61</v>
      </c>
      <c r="B1" s="102"/>
      <c r="C1" s="102"/>
      <c r="D1" s="102"/>
      <c r="E1" s="32"/>
      <c r="F1" s="32"/>
      <c r="G1" s="32"/>
      <c r="H1" s="32"/>
      <c r="I1" s="32"/>
      <c r="J1" s="32"/>
      <c r="K1" s="32"/>
      <c r="L1" s="32"/>
      <c r="M1" s="32"/>
    </row>
    <row r="3" spans="1:13" ht="15.75" x14ac:dyDescent="0.25">
      <c r="A3" s="120" t="s">
        <v>6</v>
      </c>
      <c r="B3" s="120"/>
      <c r="C3" s="120"/>
      <c r="D3" s="120"/>
      <c r="E3" s="120"/>
    </row>
    <row r="4" spans="1:13" ht="18.75" x14ac:dyDescent="0.3">
      <c r="A4" s="33" t="s">
        <v>59</v>
      </c>
      <c r="B4" s="33" t="s">
        <v>60</v>
      </c>
      <c r="C4" s="35" t="s">
        <v>57</v>
      </c>
      <c r="D4" s="33" t="s">
        <v>25</v>
      </c>
      <c r="E4" s="33" t="s">
        <v>1</v>
      </c>
    </row>
    <row r="5" spans="1:13" ht="45" x14ac:dyDescent="0.25">
      <c r="A5" s="34">
        <v>1</v>
      </c>
      <c r="B5" s="36" t="s">
        <v>62</v>
      </c>
      <c r="C5" s="71" t="s">
        <v>539</v>
      </c>
      <c r="D5" s="80" t="s">
        <v>723</v>
      </c>
      <c r="E5" t="s">
        <v>725</v>
      </c>
    </row>
    <row r="6" spans="1:13" ht="30" x14ac:dyDescent="0.25">
      <c r="A6" s="34">
        <v>2</v>
      </c>
      <c r="B6" s="34" t="s">
        <v>30</v>
      </c>
      <c r="C6" s="71" t="s">
        <v>541</v>
      </c>
      <c r="D6" s="80" t="s">
        <v>723</v>
      </c>
      <c r="E6" t="s">
        <v>725</v>
      </c>
    </row>
    <row r="7" spans="1:13" ht="45" x14ac:dyDescent="0.25">
      <c r="A7" s="34">
        <v>3</v>
      </c>
      <c r="B7" s="34" t="s">
        <v>31</v>
      </c>
      <c r="C7" s="71" t="s">
        <v>540</v>
      </c>
      <c r="D7" s="80" t="s">
        <v>723</v>
      </c>
      <c r="E7" t="s">
        <v>725</v>
      </c>
    </row>
    <row r="8" spans="1:13" ht="46.9" customHeight="1" x14ac:dyDescent="0.25">
      <c r="A8" s="34">
        <v>4</v>
      </c>
      <c r="B8" s="34" t="s">
        <v>32</v>
      </c>
      <c r="C8" s="71" t="s">
        <v>542</v>
      </c>
      <c r="D8" s="80" t="s">
        <v>723</v>
      </c>
      <c r="E8" t="s">
        <v>725</v>
      </c>
    </row>
    <row r="9" spans="1:13" ht="57" customHeight="1" x14ac:dyDescent="0.25">
      <c r="A9" s="34">
        <v>5</v>
      </c>
      <c r="B9" s="34" t="s">
        <v>33</v>
      </c>
      <c r="C9" s="71" t="s">
        <v>543</v>
      </c>
      <c r="D9" s="80" t="s">
        <v>723</v>
      </c>
      <c r="E9" t="s">
        <v>725</v>
      </c>
    </row>
    <row r="10" spans="1:13" ht="41.45" customHeight="1" x14ac:dyDescent="0.25">
      <c r="A10" s="34">
        <v>6</v>
      </c>
      <c r="B10" s="34" t="s">
        <v>34</v>
      </c>
      <c r="C10" s="71" t="s">
        <v>544</v>
      </c>
      <c r="D10" s="80" t="s">
        <v>723</v>
      </c>
      <c r="E10" t="s">
        <v>725</v>
      </c>
    </row>
    <row r="11" spans="1:13" ht="30" x14ac:dyDescent="0.25">
      <c r="A11" s="34">
        <v>7</v>
      </c>
      <c r="B11" s="34" t="s">
        <v>35</v>
      </c>
      <c r="C11" s="71" t="s">
        <v>545</v>
      </c>
      <c r="D11" s="80" t="s">
        <v>723</v>
      </c>
      <c r="E11" t="s">
        <v>725</v>
      </c>
    </row>
    <row r="12" spans="1:13" ht="30" x14ac:dyDescent="0.25">
      <c r="A12" s="34">
        <v>8</v>
      </c>
      <c r="B12" s="34" t="s">
        <v>36</v>
      </c>
      <c r="C12" s="71" t="s">
        <v>546</v>
      </c>
      <c r="D12" s="80" t="s">
        <v>723</v>
      </c>
      <c r="E12" t="s">
        <v>725</v>
      </c>
    </row>
    <row r="13" spans="1:13" ht="28.9" customHeight="1" x14ac:dyDescent="0.25">
      <c r="A13" s="34">
        <v>9</v>
      </c>
      <c r="B13" s="34" t="s">
        <v>37</v>
      </c>
      <c r="C13" s="71" t="s">
        <v>547</v>
      </c>
      <c r="D13" s="80" t="s">
        <v>723</v>
      </c>
      <c r="E13" t="s">
        <v>725</v>
      </c>
    </row>
    <row r="14" spans="1:13" ht="45" x14ac:dyDescent="0.25">
      <c r="A14" s="34">
        <v>10</v>
      </c>
      <c r="B14" s="34" t="s">
        <v>38</v>
      </c>
      <c r="C14" s="71" t="s">
        <v>548</v>
      </c>
      <c r="D14" s="80" t="s">
        <v>723</v>
      </c>
      <c r="E14" t="s">
        <v>725</v>
      </c>
    </row>
    <row r="15" spans="1:13" x14ac:dyDescent="0.25">
      <c r="A15" s="34">
        <v>11</v>
      </c>
      <c r="B15" s="34" t="s">
        <v>39</v>
      </c>
      <c r="C15" s="72" t="s">
        <v>549</v>
      </c>
      <c r="D15" s="80" t="s">
        <v>723</v>
      </c>
      <c r="E15" t="s">
        <v>725</v>
      </c>
    </row>
    <row r="16" spans="1:13" ht="60" x14ac:dyDescent="0.25">
      <c r="A16" s="34">
        <v>12</v>
      </c>
      <c r="B16" s="34" t="s">
        <v>40</v>
      </c>
      <c r="C16" s="71" t="s">
        <v>550</v>
      </c>
      <c r="D16" s="80" t="s">
        <v>723</v>
      </c>
      <c r="E16" t="s">
        <v>725</v>
      </c>
    </row>
    <row r="17" spans="1:5" x14ac:dyDescent="0.25">
      <c r="A17" s="34">
        <v>13</v>
      </c>
      <c r="B17" s="34" t="s">
        <v>41</v>
      </c>
      <c r="C17" s="72"/>
      <c r="D17" s="80" t="s">
        <v>723</v>
      </c>
      <c r="E17" t="s">
        <v>725</v>
      </c>
    </row>
    <row r="18" spans="1:5" x14ac:dyDescent="0.25">
      <c r="A18" s="34">
        <v>14</v>
      </c>
      <c r="B18" s="34" t="s">
        <v>42</v>
      </c>
      <c r="C18" s="72"/>
      <c r="D18" s="80" t="s">
        <v>723</v>
      </c>
      <c r="E18" t="s">
        <v>725</v>
      </c>
    </row>
    <row r="19" spans="1:5" ht="30.6" customHeight="1" x14ac:dyDescent="0.25">
      <c r="A19" s="34">
        <v>15</v>
      </c>
      <c r="B19" s="34" t="s">
        <v>43</v>
      </c>
      <c r="C19" s="71" t="s">
        <v>562</v>
      </c>
      <c r="D19" s="80" t="s">
        <v>723</v>
      </c>
      <c r="E19" t="s">
        <v>725</v>
      </c>
    </row>
    <row r="20" spans="1:5" x14ac:dyDescent="0.25">
      <c r="A20" s="34">
        <v>16</v>
      </c>
      <c r="B20" s="34" t="s">
        <v>44</v>
      </c>
      <c r="C20" s="72"/>
      <c r="D20" s="80" t="s">
        <v>723</v>
      </c>
      <c r="E20" t="s">
        <v>725</v>
      </c>
    </row>
    <row r="21" spans="1:5" x14ac:dyDescent="0.25">
      <c r="A21" s="34">
        <v>17</v>
      </c>
      <c r="B21" s="34" t="s">
        <v>45</v>
      </c>
      <c r="C21" s="72" t="s">
        <v>551</v>
      </c>
      <c r="D21" s="80" t="s">
        <v>723</v>
      </c>
      <c r="E21" t="s">
        <v>725</v>
      </c>
    </row>
    <row r="22" spans="1:5" ht="30" x14ac:dyDescent="0.25">
      <c r="A22" s="34">
        <v>18</v>
      </c>
      <c r="B22" s="34" t="s">
        <v>56</v>
      </c>
      <c r="C22" s="71" t="s">
        <v>552</v>
      </c>
      <c r="D22" s="80" t="s">
        <v>723</v>
      </c>
      <c r="E22" t="s">
        <v>725</v>
      </c>
    </row>
    <row r="23" spans="1:5" ht="30" x14ac:dyDescent="0.25">
      <c r="A23" s="34">
        <v>19</v>
      </c>
      <c r="B23" s="34" t="s">
        <v>46</v>
      </c>
      <c r="C23" s="71" t="s">
        <v>553</v>
      </c>
      <c r="D23" s="80" t="s">
        <v>723</v>
      </c>
      <c r="E23" t="s">
        <v>725</v>
      </c>
    </row>
    <row r="24" spans="1:5" ht="30" x14ac:dyDescent="0.25">
      <c r="A24" s="34">
        <v>20</v>
      </c>
      <c r="B24" s="34" t="s">
        <v>47</v>
      </c>
      <c r="C24" s="71" t="s">
        <v>552</v>
      </c>
      <c r="D24" s="80" t="s">
        <v>723</v>
      </c>
      <c r="E24" t="s">
        <v>725</v>
      </c>
    </row>
    <row r="25" spans="1:5" ht="30" x14ac:dyDescent="0.25">
      <c r="A25" s="34">
        <v>21</v>
      </c>
      <c r="B25" s="34" t="s">
        <v>48</v>
      </c>
      <c r="C25" s="71" t="s">
        <v>554</v>
      </c>
      <c r="D25" s="80" t="s">
        <v>723</v>
      </c>
      <c r="E25" t="s">
        <v>725</v>
      </c>
    </row>
    <row r="26" spans="1:5" ht="30" x14ac:dyDescent="0.25">
      <c r="A26" s="34">
        <v>22</v>
      </c>
      <c r="B26" s="34" t="s">
        <v>49</v>
      </c>
      <c r="C26" s="71" t="s">
        <v>555</v>
      </c>
      <c r="D26" s="80" t="s">
        <v>723</v>
      </c>
      <c r="E26" t="s">
        <v>725</v>
      </c>
    </row>
    <row r="27" spans="1:5" ht="45" x14ac:dyDescent="0.25">
      <c r="A27" s="34">
        <v>23</v>
      </c>
      <c r="B27" s="34" t="s">
        <v>50</v>
      </c>
      <c r="C27" s="71" t="s">
        <v>556</v>
      </c>
      <c r="D27" s="80" t="s">
        <v>723</v>
      </c>
      <c r="E27" t="s">
        <v>725</v>
      </c>
    </row>
    <row r="28" spans="1:5" ht="30" x14ac:dyDescent="0.25">
      <c r="A28" s="34">
        <v>24</v>
      </c>
      <c r="B28" s="34" t="s">
        <v>51</v>
      </c>
      <c r="C28" s="71" t="s">
        <v>557</v>
      </c>
      <c r="D28" s="80" t="s">
        <v>723</v>
      </c>
      <c r="E28" t="s">
        <v>725</v>
      </c>
    </row>
    <row r="29" spans="1:5" x14ac:dyDescent="0.25">
      <c r="A29" s="34">
        <v>25</v>
      </c>
      <c r="B29" s="34" t="s">
        <v>52</v>
      </c>
      <c r="C29" s="72" t="s">
        <v>554</v>
      </c>
      <c r="D29" s="80" t="s">
        <v>723</v>
      </c>
      <c r="E29" t="s">
        <v>725</v>
      </c>
    </row>
    <row r="30" spans="1:5" ht="30" x14ac:dyDescent="0.25">
      <c r="A30" s="34">
        <v>26</v>
      </c>
      <c r="B30" s="34" t="s">
        <v>53</v>
      </c>
      <c r="C30" s="71" t="s">
        <v>558</v>
      </c>
      <c r="D30" s="80" t="s">
        <v>723</v>
      </c>
      <c r="E30" t="s">
        <v>725</v>
      </c>
    </row>
    <row r="31" spans="1:5" ht="31.15" customHeight="1" x14ac:dyDescent="0.25">
      <c r="A31" s="34">
        <v>27</v>
      </c>
      <c r="B31" s="34" t="s">
        <v>54</v>
      </c>
      <c r="C31" s="71" t="s">
        <v>559</v>
      </c>
      <c r="D31" s="80" t="s">
        <v>723</v>
      </c>
      <c r="E31" t="s">
        <v>725</v>
      </c>
    </row>
    <row r="32" spans="1:5" ht="30" x14ac:dyDescent="0.25">
      <c r="A32" s="34">
        <v>28</v>
      </c>
      <c r="B32" s="34" t="s">
        <v>55</v>
      </c>
      <c r="C32" s="71" t="s">
        <v>560</v>
      </c>
      <c r="D32" s="80" t="s">
        <v>723</v>
      </c>
      <c r="E32" t="s">
        <v>725</v>
      </c>
    </row>
    <row r="33" spans="1:5" x14ac:dyDescent="0.25">
      <c r="A33" s="37">
        <v>29</v>
      </c>
      <c r="B33" s="38" t="s">
        <v>63</v>
      </c>
      <c r="C33" s="72" t="s">
        <v>561</v>
      </c>
      <c r="D33" s="80" t="s">
        <v>27</v>
      </c>
      <c r="E33" t="s">
        <v>726</v>
      </c>
    </row>
    <row r="34" spans="1:5" ht="30" x14ac:dyDescent="0.25">
      <c r="A34" s="37">
        <v>30</v>
      </c>
      <c r="B34" s="38" t="s">
        <v>64</v>
      </c>
      <c r="C34" s="71" t="s">
        <v>563</v>
      </c>
      <c r="D34" s="80" t="s">
        <v>27</v>
      </c>
      <c r="E34" t="s">
        <v>726</v>
      </c>
    </row>
    <row r="35" spans="1:5" ht="45" x14ac:dyDescent="0.25">
      <c r="A35" s="37">
        <v>31</v>
      </c>
      <c r="B35" s="38" t="s">
        <v>65</v>
      </c>
      <c r="C35" s="71" t="s">
        <v>564</v>
      </c>
      <c r="D35" s="80" t="s">
        <v>27</v>
      </c>
      <c r="E35" t="s">
        <v>726</v>
      </c>
    </row>
    <row r="36" spans="1:5" x14ac:dyDescent="0.25">
      <c r="A36" s="37">
        <v>32</v>
      </c>
      <c r="B36" s="38" t="s">
        <v>66</v>
      </c>
      <c r="C36" s="72"/>
      <c r="D36" s="80" t="s">
        <v>27</v>
      </c>
      <c r="E36" t="s">
        <v>726</v>
      </c>
    </row>
    <row r="37" spans="1:5" x14ac:dyDescent="0.25">
      <c r="A37" s="37">
        <v>33</v>
      </c>
      <c r="B37" s="38" t="s">
        <v>67</v>
      </c>
      <c r="C37" s="72" t="s">
        <v>565</v>
      </c>
      <c r="D37" s="80" t="s">
        <v>27</v>
      </c>
      <c r="E37" t="s">
        <v>726</v>
      </c>
    </row>
    <row r="38" spans="1:5" x14ac:dyDescent="0.25">
      <c r="A38" s="37">
        <v>34</v>
      </c>
      <c r="B38" s="38" t="s">
        <v>68</v>
      </c>
      <c r="C38" s="72"/>
      <c r="D38" s="80" t="s">
        <v>27</v>
      </c>
      <c r="E38" t="s">
        <v>726</v>
      </c>
    </row>
    <row r="39" spans="1:5" ht="60" x14ac:dyDescent="0.25">
      <c r="A39" s="37">
        <v>35</v>
      </c>
      <c r="B39" s="38" t="s">
        <v>69</v>
      </c>
      <c r="C39" s="71" t="s">
        <v>566</v>
      </c>
      <c r="D39" s="80" t="s">
        <v>27</v>
      </c>
      <c r="E39" t="s">
        <v>726</v>
      </c>
    </row>
    <row r="40" spans="1:5" ht="45" x14ac:dyDescent="0.25">
      <c r="A40" s="37">
        <v>36</v>
      </c>
      <c r="B40" s="38" t="s">
        <v>70</v>
      </c>
      <c r="C40" s="71" t="s">
        <v>567</v>
      </c>
      <c r="D40" s="80" t="s">
        <v>27</v>
      </c>
      <c r="E40" t="s">
        <v>726</v>
      </c>
    </row>
    <row r="41" spans="1:5" x14ac:dyDescent="0.25">
      <c r="A41" s="37">
        <v>37</v>
      </c>
      <c r="B41" s="38" t="s">
        <v>71</v>
      </c>
      <c r="C41" s="72" t="s">
        <v>568</v>
      </c>
      <c r="D41" s="80" t="s">
        <v>27</v>
      </c>
      <c r="E41" t="s">
        <v>726</v>
      </c>
    </row>
    <row r="42" spans="1:5" x14ac:dyDescent="0.25">
      <c r="A42" s="37">
        <v>38</v>
      </c>
      <c r="B42" s="38" t="s">
        <v>569</v>
      </c>
      <c r="C42" s="72"/>
      <c r="D42" s="80" t="s">
        <v>27</v>
      </c>
      <c r="E42" t="s">
        <v>726</v>
      </c>
    </row>
    <row r="43" spans="1:5" ht="30" x14ac:dyDescent="0.25">
      <c r="A43" s="37">
        <v>39</v>
      </c>
      <c r="B43" s="38" t="s">
        <v>72</v>
      </c>
      <c r="C43" s="72"/>
      <c r="D43" s="80" t="s">
        <v>27</v>
      </c>
      <c r="E43" t="s">
        <v>726</v>
      </c>
    </row>
    <row r="44" spans="1:5" x14ac:dyDescent="0.25">
      <c r="A44" s="37">
        <v>40</v>
      </c>
      <c r="B44" s="38" t="s">
        <v>73</v>
      </c>
      <c r="C44" s="72" t="s">
        <v>570</v>
      </c>
      <c r="D44" s="80" t="s">
        <v>27</v>
      </c>
      <c r="E44" t="s">
        <v>726</v>
      </c>
    </row>
    <row r="45" spans="1:5" x14ac:dyDescent="0.25">
      <c r="A45" s="37">
        <v>41</v>
      </c>
      <c r="B45" s="38" t="s">
        <v>74</v>
      </c>
      <c r="C45" s="72"/>
      <c r="D45" s="80" t="s">
        <v>27</v>
      </c>
      <c r="E45" t="s">
        <v>726</v>
      </c>
    </row>
    <row r="46" spans="1:5" x14ac:dyDescent="0.25">
      <c r="A46" s="37">
        <v>42</v>
      </c>
      <c r="B46" s="38" t="s">
        <v>75</v>
      </c>
      <c r="C46" s="72"/>
      <c r="D46" s="80" t="s">
        <v>27</v>
      </c>
      <c r="E46" t="s">
        <v>726</v>
      </c>
    </row>
    <row r="47" spans="1:5" ht="30" x14ac:dyDescent="0.25">
      <c r="A47" s="37">
        <v>43</v>
      </c>
      <c r="B47" s="38" t="s">
        <v>76</v>
      </c>
      <c r="C47" s="71" t="s">
        <v>571</v>
      </c>
      <c r="D47" s="80" t="s">
        <v>27</v>
      </c>
      <c r="E47" t="s">
        <v>726</v>
      </c>
    </row>
    <row r="48" spans="1:5" x14ac:dyDescent="0.25">
      <c r="A48" s="36">
        <v>44</v>
      </c>
      <c r="B48" s="34" t="s">
        <v>77</v>
      </c>
      <c r="C48" s="72" t="s">
        <v>551</v>
      </c>
      <c r="D48" s="80" t="s">
        <v>27</v>
      </c>
      <c r="E48" t="s">
        <v>727</v>
      </c>
    </row>
    <row r="49" spans="1:5" x14ac:dyDescent="0.25">
      <c r="A49" s="36">
        <v>45</v>
      </c>
      <c r="B49" s="34" t="s">
        <v>78</v>
      </c>
      <c r="C49" s="72"/>
      <c r="D49" s="80" t="s">
        <v>27</v>
      </c>
      <c r="E49" t="s">
        <v>727</v>
      </c>
    </row>
    <row r="50" spans="1:5" x14ac:dyDescent="0.25">
      <c r="A50" s="36">
        <v>46</v>
      </c>
      <c r="B50" s="34" t="s">
        <v>79</v>
      </c>
      <c r="C50" s="72"/>
      <c r="D50" s="80" t="s">
        <v>27</v>
      </c>
      <c r="E50" t="s">
        <v>727</v>
      </c>
    </row>
    <row r="51" spans="1:5" x14ac:dyDescent="0.25">
      <c r="A51" s="36">
        <v>47</v>
      </c>
      <c r="B51" s="34" t="s">
        <v>80</v>
      </c>
      <c r="C51" s="72"/>
      <c r="D51" s="80" t="s">
        <v>27</v>
      </c>
      <c r="E51" t="s">
        <v>727</v>
      </c>
    </row>
    <row r="52" spans="1:5" x14ac:dyDescent="0.25">
      <c r="A52" s="36">
        <v>48</v>
      </c>
      <c r="B52" s="34" t="s">
        <v>81</v>
      </c>
      <c r="C52" s="72" t="s">
        <v>551</v>
      </c>
      <c r="D52" s="80" t="s">
        <v>27</v>
      </c>
      <c r="E52" t="s">
        <v>727</v>
      </c>
    </row>
    <row r="53" spans="1:5" x14ac:dyDescent="0.25">
      <c r="A53" s="36">
        <v>49</v>
      </c>
      <c r="B53" s="34" t="s">
        <v>82</v>
      </c>
      <c r="C53" s="72" t="s">
        <v>551</v>
      </c>
      <c r="D53" s="80" t="s">
        <v>27</v>
      </c>
      <c r="E53" t="s">
        <v>727</v>
      </c>
    </row>
    <row r="54" spans="1:5" ht="30" x14ac:dyDescent="0.25">
      <c r="A54" s="36">
        <v>50</v>
      </c>
      <c r="B54" s="34" t="s">
        <v>83</v>
      </c>
      <c r="C54" s="71" t="s">
        <v>572</v>
      </c>
      <c r="D54" s="80" t="s">
        <v>27</v>
      </c>
      <c r="E54" t="s">
        <v>727</v>
      </c>
    </row>
    <row r="55" spans="1:5" ht="45" x14ac:dyDescent="0.25">
      <c r="A55" s="36">
        <v>51</v>
      </c>
      <c r="B55" s="34" t="s">
        <v>84</v>
      </c>
      <c r="C55" s="71" t="s">
        <v>573</v>
      </c>
      <c r="D55" s="80" t="s">
        <v>27</v>
      </c>
      <c r="E55" t="s">
        <v>727</v>
      </c>
    </row>
    <row r="56" spans="1:5" x14ac:dyDescent="0.25">
      <c r="A56" s="36">
        <v>52</v>
      </c>
      <c r="B56" s="38" t="s">
        <v>85</v>
      </c>
      <c r="C56" s="34"/>
      <c r="D56" s="80" t="s">
        <v>27</v>
      </c>
      <c r="E56" t="s">
        <v>728</v>
      </c>
    </row>
    <row r="57" spans="1:5" x14ac:dyDescent="0.25">
      <c r="A57" s="36">
        <v>53</v>
      </c>
      <c r="B57" s="38" t="s">
        <v>86</v>
      </c>
      <c r="C57" s="34"/>
      <c r="D57" s="80" t="s">
        <v>27</v>
      </c>
      <c r="E57" t="s">
        <v>728</v>
      </c>
    </row>
    <row r="58" spans="1:5" ht="45" x14ac:dyDescent="0.25">
      <c r="A58" s="36">
        <v>54</v>
      </c>
      <c r="B58" s="38" t="s">
        <v>87</v>
      </c>
      <c r="C58" s="71" t="s">
        <v>574</v>
      </c>
      <c r="D58" s="80" t="s">
        <v>27</v>
      </c>
      <c r="E58" t="s">
        <v>728</v>
      </c>
    </row>
    <row r="59" spans="1:5" x14ac:dyDescent="0.25">
      <c r="A59" s="36">
        <v>55</v>
      </c>
      <c r="B59" s="38" t="s">
        <v>88</v>
      </c>
      <c r="C59" s="72" t="s">
        <v>575</v>
      </c>
      <c r="D59" s="80" t="s">
        <v>27</v>
      </c>
      <c r="E59" t="s">
        <v>728</v>
      </c>
    </row>
    <row r="60" spans="1:5" ht="30" x14ac:dyDescent="0.25">
      <c r="A60" s="36">
        <v>56</v>
      </c>
      <c r="B60" s="38" t="s">
        <v>89</v>
      </c>
      <c r="C60" s="34"/>
      <c r="D60" s="80" t="s">
        <v>27</v>
      </c>
      <c r="E60" t="s">
        <v>728</v>
      </c>
    </row>
    <row r="61" spans="1:5" x14ac:dyDescent="0.25">
      <c r="A61" s="36">
        <v>57</v>
      </c>
      <c r="B61" s="38" t="s">
        <v>576</v>
      </c>
      <c r="C61" s="34"/>
      <c r="D61" s="80" t="s">
        <v>27</v>
      </c>
      <c r="E61" t="s">
        <v>728</v>
      </c>
    </row>
    <row r="62" spans="1:5" x14ac:dyDescent="0.25">
      <c r="A62" s="36">
        <v>58</v>
      </c>
      <c r="B62" s="38" t="s">
        <v>90</v>
      </c>
      <c r="C62" s="34"/>
      <c r="D62" s="80" t="s">
        <v>27</v>
      </c>
      <c r="E62" t="s">
        <v>728</v>
      </c>
    </row>
    <row r="63" spans="1:5" x14ac:dyDescent="0.25">
      <c r="A63" s="36">
        <v>59</v>
      </c>
      <c r="B63" s="38" t="s">
        <v>91</v>
      </c>
      <c r="C63" s="34"/>
      <c r="D63" s="80" t="s">
        <v>27</v>
      </c>
      <c r="E63" t="s">
        <v>728</v>
      </c>
    </row>
    <row r="64" spans="1:5" x14ac:dyDescent="0.25">
      <c r="A64" s="36">
        <v>60</v>
      </c>
      <c r="B64" s="38" t="s">
        <v>92</v>
      </c>
      <c r="C64" s="34"/>
      <c r="D64" s="80" t="s">
        <v>27</v>
      </c>
      <c r="E64" t="s">
        <v>728</v>
      </c>
    </row>
    <row r="65" spans="1:5" x14ac:dyDescent="0.25">
      <c r="A65" s="36">
        <v>61</v>
      </c>
      <c r="B65" s="38" t="s">
        <v>93</v>
      </c>
      <c r="C65" s="34"/>
      <c r="D65" s="80" t="s">
        <v>27</v>
      </c>
      <c r="E65" t="s">
        <v>728</v>
      </c>
    </row>
    <row r="66" spans="1:5" x14ac:dyDescent="0.25">
      <c r="A66" s="36">
        <v>62</v>
      </c>
      <c r="B66" s="38" t="s">
        <v>94</v>
      </c>
      <c r="C66" s="34"/>
      <c r="D66" s="80" t="s">
        <v>27</v>
      </c>
      <c r="E66" t="s">
        <v>728</v>
      </c>
    </row>
    <row r="67" spans="1:5" ht="30" x14ac:dyDescent="0.25">
      <c r="A67" s="36">
        <v>63</v>
      </c>
      <c r="B67" s="38" t="s">
        <v>95</v>
      </c>
      <c r="C67" s="34"/>
      <c r="D67" s="80" t="s">
        <v>27</v>
      </c>
      <c r="E67" t="s">
        <v>728</v>
      </c>
    </row>
    <row r="68" spans="1:5" ht="30" x14ac:dyDescent="0.25">
      <c r="A68" s="36">
        <v>64</v>
      </c>
      <c r="B68" s="34" t="s">
        <v>96</v>
      </c>
      <c r="C68" s="71" t="s">
        <v>577</v>
      </c>
      <c r="D68" s="80" t="s">
        <v>27</v>
      </c>
      <c r="E68" t="s">
        <v>729</v>
      </c>
    </row>
    <row r="69" spans="1:5" x14ac:dyDescent="0.25">
      <c r="A69" s="36">
        <v>65</v>
      </c>
      <c r="B69" s="34" t="s">
        <v>97</v>
      </c>
      <c r="C69" s="34"/>
      <c r="D69" s="80" t="s">
        <v>27</v>
      </c>
      <c r="E69" t="s">
        <v>729</v>
      </c>
    </row>
    <row r="70" spans="1:5" x14ac:dyDescent="0.25">
      <c r="A70" s="36">
        <v>66</v>
      </c>
      <c r="B70" s="34" t="s">
        <v>98</v>
      </c>
      <c r="C70" s="34"/>
      <c r="D70" s="80" t="s">
        <v>27</v>
      </c>
      <c r="E70" t="s">
        <v>729</v>
      </c>
    </row>
    <row r="71" spans="1:5" x14ac:dyDescent="0.25">
      <c r="A71" s="36">
        <v>67</v>
      </c>
      <c r="B71" s="34" t="s">
        <v>99</v>
      </c>
      <c r="C71" s="34"/>
      <c r="D71" s="80" t="s">
        <v>27</v>
      </c>
      <c r="E71" t="s">
        <v>729</v>
      </c>
    </row>
    <row r="72" spans="1:5" x14ac:dyDescent="0.25">
      <c r="A72" s="36">
        <v>68</v>
      </c>
      <c r="B72" s="34" t="s">
        <v>100</v>
      </c>
      <c r="C72" s="34"/>
      <c r="D72" s="80" t="s">
        <v>27</v>
      </c>
      <c r="E72" t="s">
        <v>729</v>
      </c>
    </row>
    <row r="73" spans="1:5" x14ac:dyDescent="0.25">
      <c r="A73" s="36">
        <v>69</v>
      </c>
      <c r="B73" s="34" t="s">
        <v>101</v>
      </c>
      <c r="C73" s="72" t="s">
        <v>578</v>
      </c>
      <c r="D73" s="80" t="s">
        <v>27</v>
      </c>
      <c r="E73" t="s">
        <v>729</v>
      </c>
    </row>
    <row r="74" spans="1:5" x14ac:dyDescent="0.25">
      <c r="A74" s="36">
        <v>70</v>
      </c>
      <c r="B74" s="34" t="s">
        <v>579</v>
      </c>
      <c r="C74" s="72"/>
      <c r="D74" s="80" t="s">
        <v>27</v>
      </c>
      <c r="E74" t="s">
        <v>729</v>
      </c>
    </row>
    <row r="75" spans="1:5" x14ac:dyDescent="0.25">
      <c r="A75" s="36">
        <v>71</v>
      </c>
      <c r="B75" s="34" t="s">
        <v>102</v>
      </c>
      <c r="C75" s="72" t="s">
        <v>578</v>
      </c>
      <c r="D75" s="80" t="s">
        <v>27</v>
      </c>
      <c r="E75" t="s">
        <v>729</v>
      </c>
    </row>
    <row r="76" spans="1:5" x14ac:dyDescent="0.25">
      <c r="A76" s="36">
        <v>72</v>
      </c>
      <c r="B76" s="34" t="s">
        <v>103</v>
      </c>
      <c r="C76" s="72" t="s">
        <v>578</v>
      </c>
      <c r="D76" s="80" t="s">
        <v>27</v>
      </c>
      <c r="E76" t="s">
        <v>729</v>
      </c>
    </row>
    <row r="77" spans="1:5" ht="75" x14ac:dyDescent="0.25">
      <c r="A77" s="37">
        <v>73</v>
      </c>
      <c r="B77" s="38" t="s">
        <v>580</v>
      </c>
      <c r="C77" s="71" t="s">
        <v>581</v>
      </c>
      <c r="D77" s="80" t="s">
        <v>27</v>
      </c>
      <c r="E77" t="s">
        <v>730</v>
      </c>
    </row>
    <row r="78" spans="1:5" ht="36.75" customHeight="1" x14ac:dyDescent="0.25">
      <c r="A78" s="37">
        <v>74</v>
      </c>
      <c r="B78" s="38" t="s">
        <v>104</v>
      </c>
      <c r="C78" s="72" t="s">
        <v>578</v>
      </c>
      <c r="D78" s="80" t="s">
        <v>27</v>
      </c>
      <c r="E78" t="s">
        <v>730</v>
      </c>
    </row>
    <row r="79" spans="1:5" x14ac:dyDescent="0.25">
      <c r="A79" s="37">
        <v>75</v>
      </c>
      <c r="B79" s="38" t="s">
        <v>105</v>
      </c>
      <c r="C79" s="34"/>
      <c r="D79" s="80" t="s">
        <v>27</v>
      </c>
      <c r="E79" t="s">
        <v>730</v>
      </c>
    </row>
    <row r="80" spans="1:5" ht="30" x14ac:dyDescent="0.25">
      <c r="A80" s="37">
        <v>76</v>
      </c>
      <c r="B80" s="38" t="s">
        <v>106</v>
      </c>
      <c r="C80" s="71" t="s">
        <v>582</v>
      </c>
      <c r="D80" s="80" t="s">
        <v>27</v>
      </c>
      <c r="E80" t="s">
        <v>730</v>
      </c>
    </row>
    <row r="81" spans="1:5" x14ac:dyDescent="0.25">
      <c r="A81" s="37">
        <v>77</v>
      </c>
      <c r="B81" s="38" t="s">
        <v>107</v>
      </c>
      <c r="C81" s="72" t="s">
        <v>578</v>
      </c>
      <c r="D81" s="80" t="s">
        <v>27</v>
      </c>
      <c r="E81" t="s">
        <v>730</v>
      </c>
    </row>
    <row r="82" spans="1:5" x14ac:dyDescent="0.25">
      <c r="A82" s="37">
        <v>78</v>
      </c>
      <c r="B82" s="38" t="s">
        <v>108</v>
      </c>
      <c r="C82" s="72"/>
      <c r="D82" s="80" t="s">
        <v>27</v>
      </c>
      <c r="E82" t="s">
        <v>730</v>
      </c>
    </row>
    <row r="83" spans="1:5" x14ac:dyDescent="0.25">
      <c r="A83" s="37">
        <v>79</v>
      </c>
      <c r="B83" s="38" t="s">
        <v>109</v>
      </c>
      <c r="C83" s="72" t="s">
        <v>578</v>
      </c>
      <c r="D83" s="80" t="s">
        <v>27</v>
      </c>
      <c r="E83" t="s">
        <v>730</v>
      </c>
    </row>
    <row r="84" spans="1:5" x14ac:dyDescent="0.25">
      <c r="A84" s="37">
        <v>80</v>
      </c>
      <c r="B84" s="38" t="s">
        <v>110</v>
      </c>
      <c r="C84" s="72" t="s">
        <v>578</v>
      </c>
      <c r="D84" s="80" t="s">
        <v>27</v>
      </c>
      <c r="E84" t="s">
        <v>730</v>
      </c>
    </row>
    <row r="85" spans="1:5" ht="30" x14ac:dyDescent="0.25">
      <c r="A85" s="37">
        <v>81</v>
      </c>
      <c r="B85" s="38" t="s">
        <v>111</v>
      </c>
      <c r="C85" s="71" t="s">
        <v>583</v>
      </c>
      <c r="D85" s="80" t="s">
        <v>27</v>
      </c>
      <c r="E85" t="s">
        <v>730</v>
      </c>
    </row>
    <row r="86" spans="1:5" ht="30" x14ac:dyDescent="0.25">
      <c r="A86" s="37">
        <v>82</v>
      </c>
      <c r="B86" s="37" t="s">
        <v>113</v>
      </c>
      <c r="C86" s="71" t="s">
        <v>584</v>
      </c>
      <c r="D86" s="80" t="s">
        <v>27</v>
      </c>
      <c r="E86" t="s">
        <v>730</v>
      </c>
    </row>
    <row r="87" spans="1:5" x14ac:dyDescent="0.25">
      <c r="A87" s="37">
        <v>83</v>
      </c>
      <c r="B87" s="38" t="s">
        <v>112</v>
      </c>
      <c r="C87" s="34"/>
      <c r="D87" s="80" t="s">
        <v>27</v>
      </c>
      <c r="E87" t="s">
        <v>730</v>
      </c>
    </row>
  </sheetData>
  <mergeCells count="2">
    <mergeCell ref="A3:E3"/>
    <mergeCell ref="A1:D1"/>
  </mergeCells>
  <phoneticPr fontId="28" type="noConversion"/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Plan2!$A$2:$A$5</xm:f>
          </x14:formula1>
          <xm:sqref>D5:D87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M103"/>
  <sheetViews>
    <sheetView zoomScaleNormal="100" workbookViewId="0">
      <selection activeCell="E4" sqref="E4"/>
    </sheetView>
  </sheetViews>
  <sheetFormatPr defaultRowHeight="15" x14ac:dyDescent="0.25"/>
  <cols>
    <col min="1" max="1" width="5.7109375" bestFit="1" customWidth="1"/>
    <col min="2" max="2" width="81" bestFit="1" customWidth="1"/>
    <col min="3" max="3" width="26.5703125" customWidth="1"/>
    <col min="4" max="4" width="12.7109375" customWidth="1"/>
  </cols>
  <sheetData>
    <row r="1" spans="1:13" ht="99.75" customHeight="1" x14ac:dyDescent="0.25">
      <c r="A1" s="101" t="s">
        <v>61</v>
      </c>
      <c r="B1" s="102"/>
      <c r="C1" s="102"/>
      <c r="D1" s="102"/>
      <c r="E1" s="32"/>
      <c r="F1" s="32"/>
      <c r="G1" s="32"/>
      <c r="H1" s="32"/>
      <c r="I1" s="32"/>
      <c r="J1" s="32"/>
      <c r="K1" s="32"/>
      <c r="L1" s="32"/>
      <c r="M1" s="32"/>
    </row>
    <row r="3" spans="1:13" ht="15.75" x14ac:dyDescent="0.25">
      <c r="A3" s="100" t="s">
        <v>7</v>
      </c>
      <c r="B3" s="100"/>
      <c r="C3" s="100"/>
      <c r="D3" s="100"/>
    </row>
    <row r="4" spans="1:13" ht="18.75" x14ac:dyDescent="0.3">
      <c r="A4" s="33" t="s">
        <v>59</v>
      </c>
      <c r="B4" s="33" t="s">
        <v>60</v>
      </c>
      <c r="C4" s="35" t="s">
        <v>57</v>
      </c>
      <c r="D4" s="33" t="s">
        <v>25</v>
      </c>
      <c r="E4" s="33" t="s">
        <v>1</v>
      </c>
    </row>
    <row r="5" spans="1:13" ht="60" x14ac:dyDescent="0.25">
      <c r="A5" s="36">
        <v>1</v>
      </c>
      <c r="B5" s="36" t="s">
        <v>163</v>
      </c>
      <c r="C5" s="71" t="s">
        <v>585</v>
      </c>
      <c r="D5" s="80" t="s">
        <v>723</v>
      </c>
      <c r="E5" t="s">
        <v>725</v>
      </c>
    </row>
    <row r="6" spans="1:13" x14ac:dyDescent="0.25">
      <c r="A6" s="36">
        <v>2</v>
      </c>
      <c r="B6" s="34" t="s">
        <v>586</v>
      </c>
      <c r="C6" s="34"/>
      <c r="D6" s="80" t="s">
        <v>723</v>
      </c>
      <c r="E6" t="s">
        <v>725</v>
      </c>
    </row>
    <row r="7" spans="1:13" ht="105" x14ac:dyDescent="0.25">
      <c r="A7" s="36">
        <v>3</v>
      </c>
      <c r="B7" s="34" t="s">
        <v>164</v>
      </c>
      <c r="C7" s="71" t="s">
        <v>587</v>
      </c>
      <c r="D7" s="80" t="s">
        <v>723</v>
      </c>
      <c r="E7" t="s">
        <v>725</v>
      </c>
    </row>
    <row r="8" spans="1:13" x14ac:dyDescent="0.25">
      <c r="A8" s="36">
        <v>4</v>
      </c>
      <c r="B8" s="34" t="s">
        <v>165</v>
      </c>
      <c r="C8" s="34"/>
      <c r="D8" s="80" t="s">
        <v>723</v>
      </c>
      <c r="E8" t="s">
        <v>725</v>
      </c>
    </row>
    <row r="9" spans="1:13" x14ac:dyDescent="0.25">
      <c r="A9" s="36">
        <v>5</v>
      </c>
      <c r="B9" s="34" t="s">
        <v>166</v>
      </c>
      <c r="C9" s="34"/>
      <c r="D9" s="80" t="s">
        <v>723</v>
      </c>
      <c r="E9" t="s">
        <v>725</v>
      </c>
    </row>
    <row r="10" spans="1:13" x14ac:dyDescent="0.25">
      <c r="A10" s="36">
        <v>6</v>
      </c>
      <c r="B10" s="34" t="s">
        <v>167</v>
      </c>
      <c r="C10" s="34"/>
      <c r="D10" s="80" t="s">
        <v>723</v>
      </c>
      <c r="E10" t="s">
        <v>725</v>
      </c>
    </row>
    <row r="11" spans="1:13" x14ac:dyDescent="0.25">
      <c r="A11" s="36">
        <v>7</v>
      </c>
      <c r="B11" s="34" t="s">
        <v>168</v>
      </c>
      <c r="C11" s="34"/>
      <c r="D11" s="80" t="s">
        <v>723</v>
      </c>
      <c r="E11" t="s">
        <v>725</v>
      </c>
    </row>
    <row r="12" spans="1:13" ht="45" x14ac:dyDescent="0.25">
      <c r="A12" s="36">
        <v>8</v>
      </c>
      <c r="B12" s="34" t="s">
        <v>169</v>
      </c>
      <c r="C12" s="71" t="s">
        <v>588</v>
      </c>
      <c r="D12" s="80" t="s">
        <v>723</v>
      </c>
      <c r="E12" t="s">
        <v>725</v>
      </c>
    </row>
    <row r="13" spans="1:13" x14ac:dyDescent="0.25">
      <c r="A13" s="36">
        <v>9</v>
      </c>
      <c r="B13" s="34" t="s">
        <v>170</v>
      </c>
      <c r="C13" s="34"/>
      <c r="D13" s="80" t="s">
        <v>723</v>
      </c>
      <c r="E13" t="s">
        <v>725</v>
      </c>
    </row>
    <row r="14" spans="1:13" ht="45" x14ac:dyDescent="0.25">
      <c r="A14" s="36">
        <v>10</v>
      </c>
      <c r="B14" s="34" t="s">
        <v>171</v>
      </c>
      <c r="C14" s="71" t="s">
        <v>589</v>
      </c>
      <c r="D14" s="80" t="s">
        <v>723</v>
      </c>
      <c r="E14" t="s">
        <v>725</v>
      </c>
    </row>
    <row r="15" spans="1:13" x14ac:dyDescent="0.25">
      <c r="A15" s="37">
        <v>11</v>
      </c>
      <c r="B15" s="38" t="s">
        <v>114</v>
      </c>
      <c r="C15" s="34"/>
      <c r="D15" s="80" t="s">
        <v>723</v>
      </c>
      <c r="E15" t="s">
        <v>726</v>
      </c>
    </row>
    <row r="16" spans="1:13" x14ac:dyDescent="0.25">
      <c r="A16" s="37">
        <v>12</v>
      </c>
      <c r="B16" s="38" t="s">
        <v>115</v>
      </c>
      <c r="C16" s="34"/>
      <c r="D16" s="80" t="s">
        <v>723</v>
      </c>
      <c r="E16" t="s">
        <v>726</v>
      </c>
    </row>
    <row r="17" spans="1:5" x14ac:dyDescent="0.25">
      <c r="A17" s="37">
        <v>13</v>
      </c>
      <c r="B17" s="38" t="s">
        <v>116</v>
      </c>
      <c r="C17" s="34"/>
      <c r="D17" s="80" t="s">
        <v>723</v>
      </c>
      <c r="E17" t="s">
        <v>726</v>
      </c>
    </row>
    <row r="18" spans="1:5" x14ac:dyDescent="0.25">
      <c r="A18" s="37">
        <v>14</v>
      </c>
      <c r="B18" s="38" t="s">
        <v>117</v>
      </c>
      <c r="C18" s="34"/>
      <c r="D18" s="80" t="s">
        <v>723</v>
      </c>
      <c r="E18" t="s">
        <v>726</v>
      </c>
    </row>
    <row r="19" spans="1:5" x14ac:dyDescent="0.25">
      <c r="A19" s="37">
        <v>15</v>
      </c>
      <c r="B19" s="38" t="s">
        <v>118</v>
      </c>
      <c r="C19" s="34"/>
      <c r="D19" s="80" t="s">
        <v>723</v>
      </c>
      <c r="E19" t="s">
        <v>726</v>
      </c>
    </row>
    <row r="20" spans="1:5" x14ac:dyDescent="0.25">
      <c r="A20" s="37">
        <v>16</v>
      </c>
      <c r="B20" s="38" t="s">
        <v>119</v>
      </c>
      <c r="C20" s="34"/>
      <c r="D20" s="80" t="s">
        <v>723</v>
      </c>
      <c r="E20" t="s">
        <v>726</v>
      </c>
    </row>
    <row r="21" spans="1:5" x14ac:dyDescent="0.25">
      <c r="A21" s="37">
        <v>17</v>
      </c>
      <c r="B21" s="38" t="s">
        <v>120</v>
      </c>
      <c r="C21" s="34"/>
      <c r="D21" s="80" t="s">
        <v>723</v>
      </c>
      <c r="E21" t="s">
        <v>726</v>
      </c>
    </row>
    <row r="22" spans="1:5" x14ac:dyDescent="0.25">
      <c r="A22" s="37">
        <v>18</v>
      </c>
      <c r="B22" s="38" t="s">
        <v>121</v>
      </c>
      <c r="C22" s="34"/>
      <c r="D22" s="80" t="s">
        <v>723</v>
      </c>
      <c r="E22" t="s">
        <v>726</v>
      </c>
    </row>
    <row r="23" spans="1:5" x14ac:dyDescent="0.25">
      <c r="A23" s="37">
        <v>19</v>
      </c>
      <c r="B23" s="38" t="s">
        <v>122</v>
      </c>
      <c r="C23" s="34"/>
      <c r="D23" s="80" t="s">
        <v>723</v>
      </c>
      <c r="E23" t="s">
        <v>726</v>
      </c>
    </row>
    <row r="24" spans="1:5" x14ac:dyDescent="0.25">
      <c r="A24" s="37">
        <v>20</v>
      </c>
      <c r="B24" s="38" t="s">
        <v>590</v>
      </c>
      <c r="C24" s="34"/>
      <c r="D24" s="80" t="s">
        <v>723</v>
      </c>
      <c r="E24" t="s">
        <v>726</v>
      </c>
    </row>
    <row r="25" spans="1:5" x14ac:dyDescent="0.25">
      <c r="A25" s="37">
        <v>21</v>
      </c>
      <c r="B25" s="38" t="s">
        <v>123</v>
      </c>
      <c r="C25" s="34"/>
      <c r="D25" s="80" t="s">
        <v>723</v>
      </c>
      <c r="E25" t="s">
        <v>726</v>
      </c>
    </row>
    <row r="26" spans="1:5" x14ac:dyDescent="0.25">
      <c r="A26" s="37">
        <v>22</v>
      </c>
      <c r="B26" s="38" t="s">
        <v>591</v>
      </c>
      <c r="C26" s="34"/>
      <c r="D26" s="80" t="s">
        <v>723</v>
      </c>
      <c r="E26" t="s">
        <v>726</v>
      </c>
    </row>
    <row r="27" spans="1:5" x14ac:dyDescent="0.25">
      <c r="A27" s="37">
        <v>23</v>
      </c>
      <c r="B27" s="38" t="s">
        <v>124</v>
      </c>
      <c r="C27" s="34"/>
      <c r="D27" s="80" t="s">
        <v>723</v>
      </c>
      <c r="E27" t="s">
        <v>726</v>
      </c>
    </row>
    <row r="28" spans="1:5" x14ac:dyDescent="0.25">
      <c r="A28" s="37">
        <v>24</v>
      </c>
      <c r="B28" s="38" t="s">
        <v>125</v>
      </c>
      <c r="C28" s="34"/>
      <c r="D28" s="80" t="s">
        <v>723</v>
      </c>
      <c r="E28" t="s">
        <v>726</v>
      </c>
    </row>
    <row r="29" spans="1:5" x14ac:dyDescent="0.25">
      <c r="A29" s="37">
        <v>25</v>
      </c>
      <c r="B29" s="38" t="s">
        <v>126</v>
      </c>
      <c r="C29" s="34"/>
      <c r="D29" s="80" t="s">
        <v>723</v>
      </c>
      <c r="E29" t="s">
        <v>726</v>
      </c>
    </row>
    <row r="30" spans="1:5" x14ac:dyDescent="0.25">
      <c r="A30" s="37">
        <v>26</v>
      </c>
      <c r="B30" s="38" t="s">
        <v>127</v>
      </c>
      <c r="C30" s="34"/>
      <c r="D30" s="80" t="s">
        <v>723</v>
      </c>
      <c r="E30" t="s">
        <v>726</v>
      </c>
    </row>
    <row r="31" spans="1:5" x14ac:dyDescent="0.25">
      <c r="A31" s="37">
        <v>27</v>
      </c>
      <c r="B31" s="38" t="s">
        <v>128</v>
      </c>
      <c r="C31" s="34"/>
      <c r="D31" s="80" t="s">
        <v>723</v>
      </c>
      <c r="E31" t="s">
        <v>726</v>
      </c>
    </row>
    <row r="32" spans="1:5" x14ac:dyDescent="0.25">
      <c r="A32" s="37">
        <v>28</v>
      </c>
      <c r="B32" s="38" t="s">
        <v>129</v>
      </c>
      <c r="C32" s="34"/>
      <c r="D32" s="80" t="s">
        <v>723</v>
      </c>
      <c r="E32" t="s">
        <v>726</v>
      </c>
    </row>
    <row r="33" spans="1:5" ht="60" x14ac:dyDescent="0.25">
      <c r="A33" s="36">
        <v>29</v>
      </c>
      <c r="B33" s="34" t="s">
        <v>172</v>
      </c>
      <c r="C33" s="71" t="s">
        <v>592</v>
      </c>
      <c r="D33" s="80" t="s">
        <v>723</v>
      </c>
      <c r="E33" t="s">
        <v>727</v>
      </c>
    </row>
    <row r="34" spans="1:5" ht="60" x14ac:dyDescent="0.25">
      <c r="A34" s="36">
        <v>30</v>
      </c>
      <c r="B34" s="34" t="s">
        <v>173</v>
      </c>
      <c r="C34" s="71" t="s">
        <v>593</v>
      </c>
      <c r="D34" s="80" t="s">
        <v>723</v>
      </c>
      <c r="E34" t="s">
        <v>727</v>
      </c>
    </row>
    <row r="35" spans="1:5" x14ac:dyDescent="0.25">
      <c r="A35" s="36">
        <v>31</v>
      </c>
      <c r="B35" s="34" t="s">
        <v>174</v>
      </c>
      <c r="C35" s="34" t="s">
        <v>578</v>
      </c>
      <c r="D35" s="80" t="s">
        <v>723</v>
      </c>
      <c r="E35" t="s">
        <v>727</v>
      </c>
    </row>
    <row r="36" spans="1:5" x14ac:dyDescent="0.25">
      <c r="A36" s="36">
        <v>32</v>
      </c>
      <c r="B36" s="34" t="s">
        <v>175</v>
      </c>
      <c r="C36" s="34"/>
      <c r="D36" s="80" t="s">
        <v>723</v>
      </c>
      <c r="E36" t="s">
        <v>727</v>
      </c>
    </row>
    <row r="37" spans="1:5" x14ac:dyDescent="0.25">
      <c r="A37" s="36">
        <v>33</v>
      </c>
      <c r="B37" s="34" t="s">
        <v>176</v>
      </c>
      <c r="C37" s="34"/>
      <c r="D37" s="80" t="s">
        <v>723</v>
      </c>
      <c r="E37" t="s">
        <v>727</v>
      </c>
    </row>
    <row r="38" spans="1:5" ht="45" x14ac:dyDescent="0.25">
      <c r="A38" s="36">
        <v>34</v>
      </c>
      <c r="B38" s="34" t="s">
        <v>177</v>
      </c>
      <c r="C38" s="38" t="s">
        <v>594</v>
      </c>
      <c r="D38" s="80" t="s">
        <v>723</v>
      </c>
      <c r="E38" t="s">
        <v>727</v>
      </c>
    </row>
    <row r="39" spans="1:5" x14ac:dyDescent="0.25">
      <c r="A39" s="36">
        <v>35</v>
      </c>
      <c r="B39" s="34" t="s">
        <v>178</v>
      </c>
      <c r="C39" s="34"/>
      <c r="D39" s="80" t="s">
        <v>723</v>
      </c>
      <c r="E39" t="s">
        <v>727</v>
      </c>
    </row>
    <row r="40" spans="1:5" x14ac:dyDescent="0.25">
      <c r="A40" s="36">
        <v>36</v>
      </c>
      <c r="B40" s="34" t="s">
        <v>179</v>
      </c>
      <c r="C40" s="34"/>
      <c r="D40" s="80" t="s">
        <v>723</v>
      </c>
      <c r="E40" t="s">
        <v>727</v>
      </c>
    </row>
    <row r="41" spans="1:5" ht="45" x14ac:dyDescent="0.25">
      <c r="A41" s="36">
        <v>37</v>
      </c>
      <c r="B41" s="34" t="s">
        <v>180</v>
      </c>
      <c r="C41" s="71" t="s">
        <v>595</v>
      </c>
      <c r="D41" s="80" t="s">
        <v>723</v>
      </c>
      <c r="E41" t="s">
        <v>727</v>
      </c>
    </row>
    <row r="42" spans="1:5" x14ac:dyDescent="0.25">
      <c r="A42" s="36">
        <v>38</v>
      </c>
      <c r="B42" s="34" t="s">
        <v>181</v>
      </c>
      <c r="C42" s="34"/>
      <c r="D42" s="80" t="s">
        <v>723</v>
      </c>
      <c r="E42" t="s">
        <v>727</v>
      </c>
    </row>
    <row r="43" spans="1:5" x14ac:dyDescent="0.25">
      <c r="A43" s="36">
        <v>39</v>
      </c>
      <c r="B43" s="34" t="s">
        <v>182</v>
      </c>
      <c r="C43" s="34"/>
      <c r="D43" s="80" t="s">
        <v>723</v>
      </c>
      <c r="E43" t="s">
        <v>727</v>
      </c>
    </row>
    <row r="44" spans="1:5" ht="30" x14ac:dyDescent="0.25">
      <c r="A44" s="36">
        <v>40</v>
      </c>
      <c r="B44" s="38" t="s">
        <v>183</v>
      </c>
      <c r="C44" s="34"/>
      <c r="D44" s="80" t="s">
        <v>723</v>
      </c>
      <c r="E44" t="s">
        <v>727</v>
      </c>
    </row>
    <row r="45" spans="1:5" ht="45" x14ac:dyDescent="0.25">
      <c r="A45" s="36">
        <v>41</v>
      </c>
      <c r="B45" s="34" t="s">
        <v>184</v>
      </c>
      <c r="C45" s="71" t="s">
        <v>596</v>
      </c>
      <c r="D45" s="80" t="s">
        <v>723</v>
      </c>
      <c r="E45" t="s">
        <v>727</v>
      </c>
    </row>
    <row r="46" spans="1:5" x14ac:dyDescent="0.25">
      <c r="A46" s="36">
        <v>42</v>
      </c>
      <c r="B46" s="34" t="s">
        <v>185</v>
      </c>
      <c r="C46" s="34"/>
      <c r="D46" s="80" t="s">
        <v>723</v>
      </c>
      <c r="E46" t="s">
        <v>727</v>
      </c>
    </row>
    <row r="47" spans="1:5" x14ac:dyDescent="0.25">
      <c r="A47" s="36">
        <v>43</v>
      </c>
      <c r="B47" s="34" t="s">
        <v>186</v>
      </c>
      <c r="C47" s="34"/>
      <c r="D47" s="80" t="s">
        <v>723</v>
      </c>
      <c r="E47" t="s">
        <v>727</v>
      </c>
    </row>
    <row r="48" spans="1:5" x14ac:dyDescent="0.25">
      <c r="A48" s="36">
        <v>44</v>
      </c>
      <c r="B48" s="34" t="s">
        <v>187</v>
      </c>
      <c r="C48" s="34"/>
      <c r="D48" s="80" t="s">
        <v>723</v>
      </c>
      <c r="E48" t="s">
        <v>727</v>
      </c>
    </row>
    <row r="49" spans="1:5" x14ac:dyDescent="0.25">
      <c r="A49" s="36">
        <v>45</v>
      </c>
      <c r="B49" s="34" t="s">
        <v>188</v>
      </c>
      <c r="C49" s="34"/>
      <c r="D49" s="80" t="s">
        <v>723</v>
      </c>
      <c r="E49" t="s">
        <v>727</v>
      </c>
    </row>
    <row r="50" spans="1:5" x14ac:dyDescent="0.25">
      <c r="A50" s="36">
        <v>46</v>
      </c>
      <c r="B50" s="34" t="s">
        <v>189</v>
      </c>
      <c r="C50" s="34"/>
      <c r="D50" s="80" t="s">
        <v>723</v>
      </c>
      <c r="E50" t="s">
        <v>727</v>
      </c>
    </row>
    <row r="51" spans="1:5" x14ac:dyDescent="0.25">
      <c r="A51" s="36">
        <v>47</v>
      </c>
      <c r="B51" s="34" t="s">
        <v>190</v>
      </c>
      <c r="C51" s="34"/>
      <c r="D51" s="80" t="s">
        <v>723</v>
      </c>
      <c r="E51" t="s">
        <v>727</v>
      </c>
    </row>
    <row r="52" spans="1:5" x14ac:dyDescent="0.25">
      <c r="A52" s="36">
        <v>48</v>
      </c>
      <c r="B52" s="34" t="s">
        <v>191</v>
      </c>
      <c r="C52" s="34"/>
      <c r="D52" s="80" t="s">
        <v>723</v>
      </c>
      <c r="E52" t="s">
        <v>727</v>
      </c>
    </row>
    <row r="53" spans="1:5" x14ac:dyDescent="0.25">
      <c r="A53" s="36">
        <v>49</v>
      </c>
      <c r="B53" s="34" t="s">
        <v>192</v>
      </c>
      <c r="C53" s="34"/>
      <c r="D53" s="80" t="s">
        <v>723</v>
      </c>
      <c r="E53" t="s">
        <v>727</v>
      </c>
    </row>
    <row r="54" spans="1:5" ht="75" x14ac:dyDescent="0.25">
      <c r="A54" s="36">
        <v>50</v>
      </c>
      <c r="B54" s="34" t="s">
        <v>193</v>
      </c>
      <c r="C54" s="71" t="s">
        <v>597</v>
      </c>
      <c r="D54" s="80" t="s">
        <v>723</v>
      </c>
      <c r="E54" t="s">
        <v>727</v>
      </c>
    </row>
    <row r="55" spans="1:5" x14ac:dyDescent="0.25">
      <c r="A55" s="36">
        <v>51</v>
      </c>
      <c r="B55" s="34" t="s">
        <v>194</v>
      </c>
      <c r="C55" s="34"/>
      <c r="D55" s="80" t="s">
        <v>723</v>
      </c>
      <c r="E55" t="s">
        <v>727</v>
      </c>
    </row>
    <row r="56" spans="1:5" x14ac:dyDescent="0.25">
      <c r="A56" s="36">
        <v>52</v>
      </c>
      <c r="B56" s="34" t="s">
        <v>195</v>
      </c>
      <c r="C56" s="34"/>
      <c r="D56" s="80" t="s">
        <v>723</v>
      </c>
      <c r="E56" t="s">
        <v>727</v>
      </c>
    </row>
    <row r="57" spans="1:5" x14ac:dyDescent="0.25">
      <c r="A57" s="36">
        <v>53</v>
      </c>
      <c r="B57" s="34" t="s">
        <v>196</v>
      </c>
      <c r="C57" s="34"/>
      <c r="D57" s="80" t="s">
        <v>723</v>
      </c>
      <c r="E57" t="s">
        <v>727</v>
      </c>
    </row>
    <row r="58" spans="1:5" x14ac:dyDescent="0.25">
      <c r="A58" s="36">
        <v>54</v>
      </c>
      <c r="B58" s="34" t="s">
        <v>197</v>
      </c>
      <c r="C58" s="34"/>
      <c r="D58" s="80" t="s">
        <v>723</v>
      </c>
      <c r="E58" t="s">
        <v>727</v>
      </c>
    </row>
    <row r="59" spans="1:5" ht="45" x14ac:dyDescent="0.25">
      <c r="A59" s="36">
        <v>55</v>
      </c>
      <c r="B59" s="34" t="s">
        <v>198</v>
      </c>
      <c r="C59" s="71" t="s">
        <v>598</v>
      </c>
      <c r="D59" s="80" t="s">
        <v>723</v>
      </c>
      <c r="E59" t="s">
        <v>727</v>
      </c>
    </row>
    <row r="60" spans="1:5" ht="75" x14ac:dyDescent="0.25">
      <c r="A60" s="36">
        <v>56</v>
      </c>
      <c r="B60" s="34" t="s">
        <v>199</v>
      </c>
      <c r="C60" s="71" t="s">
        <v>599</v>
      </c>
      <c r="D60" s="80" t="s">
        <v>723</v>
      </c>
      <c r="E60" t="s">
        <v>727</v>
      </c>
    </row>
    <row r="61" spans="1:5" x14ac:dyDescent="0.25">
      <c r="A61" s="36">
        <v>57</v>
      </c>
      <c r="B61" s="34" t="s">
        <v>200</v>
      </c>
      <c r="C61" s="34"/>
      <c r="D61" s="80" t="s">
        <v>723</v>
      </c>
      <c r="E61" t="s">
        <v>727</v>
      </c>
    </row>
    <row r="62" spans="1:5" ht="60" x14ac:dyDescent="0.25">
      <c r="A62" s="36">
        <v>58</v>
      </c>
      <c r="B62" s="34" t="s">
        <v>201</v>
      </c>
      <c r="C62" s="71" t="s">
        <v>600</v>
      </c>
      <c r="D62" s="80" t="s">
        <v>723</v>
      </c>
      <c r="E62" t="s">
        <v>727</v>
      </c>
    </row>
    <row r="63" spans="1:5" x14ac:dyDescent="0.25">
      <c r="A63" s="36">
        <v>59</v>
      </c>
      <c r="B63" s="34" t="s">
        <v>130</v>
      </c>
      <c r="C63" s="34"/>
      <c r="D63" s="80" t="s">
        <v>723</v>
      </c>
      <c r="E63" t="s">
        <v>728</v>
      </c>
    </row>
    <row r="64" spans="1:5" ht="60" x14ac:dyDescent="0.25">
      <c r="A64" s="36">
        <v>60</v>
      </c>
      <c r="B64" s="34" t="s">
        <v>601</v>
      </c>
      <c r="C64" s="71" t="s">
        <v>602</v>
      </c>
      <c r="D64" s="80" t="s">
        <v>723</v>
      </c>
      <c r="E64" t="s">
        <v>728</v>
      </c>
    </row>
    <row r="65" spans="1:5" x14ac:dyDescent="0.25">
      <c r="A65" s="36">
        <v>61</v>
      </c>
      <c r="B65" s="34" t="s">
        <v>131</v>
      </c>
      <c r="C65" s="34"/>
      <c r="D65" s="80" t="s">
        <v>723</v>
      </c>
      <c r="E65" t="s">
        <v>728</v>
      </c>
    </row>
    <row r="66" spans="1:5" x14ac:dyDescent="0.25">
      <c r="A66" s="36">
        <v>62</v>
      </c>
      <c r="B66" s="34" t="s">
        <v>132</v>
      </c>
      <c r="C66" s="34"/>
      <c r="D66" s="80" t="s">
        <v>723</v>
      </c>
      <c r="E66" t="s">
        <v>728</v>
      </c>
    </row>
    <row r="67" spans="1:5" x14ac:dyDescent="0.25">
      <c r="A67" s="36">
        <v>63</v>
      </c>
      <c r="B67" s="34" t="s">
        <v>133</v>
      </c>
      <c r="C67" s="34"/>
      <c r="D67" s="80" t="s">
        <v>723</v>
      </c>
      <c r="E67" t="s">
        <v>728</v>
      </c>
    </row>
    <row r="68" spans="1:5" x14ac:dyDescent="0.25">
      <c r="A68" s="36">
        <v>64</v>
      </c>
      <c r="B68" s="34" t="s">
        <v>134</v>
      </c>
      <c r="C68" s="34"/>
      <c r="D68" s="80" t="s">
        <v>723</v>
      </c>
      <c r="E68" t="s">
        <v>728</v>
      </c>
    </row>
    <row r="69" spans="1:5" ht="60" x14ac:dyDescent="0.25">
      <c r="A69" s="36">
        <v>65</v>
      </c>
      <c r="B69" s="34" t="s">
        <v>135</v>
      </c>
      <c r="C69" s="71" t="s">
        <v>603</v>
      </c>
      <c r="D69" s="80" t="s">
        <v>723</v>
      </c>
      <c r="E69" t="s">
        <v>728</v>
      </c>
    </row>
    <row r="70" spans="1:5" x14ac:dyDescent="0.25">
      <c r="A70" s="36">
        <v>66</v>
      </c>
      <c r="B70" s="34" t="s">
        <v>136</v>
      </c>
      <c r="C70" s="34"/>
      <c r="D70" s="80" t="s">
        <v>723</v>
      </c>
      <c r="E70" t="s">
        <v>728</v>
      </c>
    </row>
    <row r="71" spans="1:5" x14ac:dyDescent="0.25">
      <c r="A71" s="36">
        <v>67</v>
      </c>
      <c r="B71" s="34" t="s">
        <v>137</v>
      </c>
      <c r="C71" s="34"/>
      <c r="D71" s="80" t="s">
        <v>723</v>
      </c>
      <c r="E71" t="s">
        <v>728</v>
      </c>
    </row>
    <row r="72" spans="1:5" x14ac:dyDescent="0.25">
      <c r="A72" s="36">
        <v>68</v>
      </c>
      <c r="B72" s="34" t="s">
        <v>138</v>
      </c>
      <c r="C72" s="34"/>
      <c r="D72" s="80" t="s">
        <v>723</v>
      </c>
      <c r="E72" t="s">
        <v>728</v>
      </c>
    </row>
    <row r="73" spans="1:5" x14ac:dyDescent="0.25">
      <c r="A73" s="36">
        <v>69</v>
      </c>
      <c r="B73" s="34" t="s">
        <v>139</v>
      </c>
      <c r="C73" s="34"/>
      <c r="D73" s="80" t="s">
        <v>723</v>
      </c>
      <c r="E73" t="s">
        <v>728</v>
      </c>
    </row>
    <row r="74" spans="1:5" ht="75" x14ac:dyDescent="0.25">
      <c r="A74" s="36">
        <v>70</v>
      </c>
      <c r="B74" s="34" t="s">
        <v>140</v>
      </c>
      <c r="C74" s="71" t="s">
        <v>604</v>
      </c>
      <c r="D74" s="80" t="s">
        <v>723</v>
      </c>
      <c r="E74" t="s">
        <v>728</v>
      </c>
    </row>
    <row r="75" spans="1:5" ht="60" x14ac:dyDescent="0.25">
      <c r="A75" s="37">
        <v>71</v>
      </c>
      <c r="B75" s="71" t="s">
        <v>141</v>
      </c>
      <c r="C75" s="71" t="s">
        <v>605</v>
      </c>
      <c r="D75" s="80" t="s">
        <v>723</v>
      </c>
      <c r="E75" t="s">
        <v>729</v>
      </c>
    </row>
    <row r="76" spans="1:5" ht="30" x14ac:dyDescent="0.25">
      <c r="A76" s="37">
        <v>72</v>
      </c>
      <c r="B76" s="38" t="s">
        <v>606</v>
      </c>
      <c r="C76" s="34"/>
      <c r="D76" s="80" t="s">
        <v>723</v>
      </c>
      <c r="E76" t="s">
        <v>729</v>
      </c>
    </row>
    <row r="77" spans="1:5" x14ac:dyDescent="0.25">
      <c r="A77" s="37">
        <v>73</v>
      </c>
      <c r="B77" s="38" t="s">
        <v>142</v>
      </c>
      <c r="C77" s="34"/>
      <c r="D77" s="80" t="s">
        <v>723</v>
      </c>
      <c r="E77" t="s">
        <v>729</v>
      </c>
    </row>
    <row r="78" spans="1:5" x14ac:dyDescent="0.25">
      <c r="A78" s="37">
        <v>74</v>
      </c>
      <c r="B78" s="38" t="s">
        <v>143</v>
      </c>
      <c r="C78" s="34"/>
      <c r="D78" s="80" t="s">
        <v>723</v>
      </c>
      <c r="E78" t="s">
        <v>729</v>
      </c>
    </row>
    <row r="79" spans="1:5" x14ac:dyDescent="0.25">
      <c r="A79" s="37">
        <v>75</v>
      </c>
      <c r="B79" s="38" t="s">
        <v>144</v>
      </c>
      <c r="C79" s="34"/>
      <c r="D79" s="80" t="s">
        <v>723</v>
      </c>
      <c r="E79" t="s">
        <v>729</v>
      </c>
    </row>
    <row r="80" spans="1:5" ht="45" x14ac:dyDescent="0.25">
      <c r="A80" s="37">
        <v>76</v>
      </c>
      <c r="B80" s="38" t="s">
        <v>145</v>
      </c>
      <c r="C80" s="71" t="s">
        <v>607</v>
      </c>
      <c r="D80" s="80" t="s">
        <v>723</v>
      </c>
      <c r="E80" t="s">
        <v>729</v>
      </c>
    </row>
    <row r="81" spans="1:5" x14ac:dyDescent="0.25">
      <c r="A81" s="37">
        <v>77</v>
      </c>
      <c r="B81" s="38" t="s">
        <v>608</v>
      </c>
      <c r="C81" s="34"/>
      <c r="D81" s="80" t="s">
        <v>723</v>
      </c>
      <c r="E81" t="s">
        <v>729</v>
      </c>
    </row>
    <row r="82" spans="1:5" ht="75" x14ac:dyDescent="0.25">
      <c r="A82" s="37">
        <v>78</v>
      </c>
      <c r="B82" s="38" t="s">
        <v>146</v>
      </c>
      <c r="C82" s="71" t="s">
        <v>609</v>
      </c>
      <c r="D82" s="80" t="s">
        <v>723</v>
      </c>
      <c r="E82" t="s">
        <v>729</v>
      </c>
    </row>
    <row r="83" spans="1:5" x14ac:dyDescent="0.25">
      <c r="A83" s="37">
        <v>79</v>
      </c>
      <c r="B83" s="37" t="s">
        <v>147</v>
      </c>
      <c r="C83" s="72" t="s">
        <v>610</v>
      </c>
      <c r="D83" s="80" t="s">
        <v>723</v>
      </c>
      <c r="E83" t="s">
        <v>729</v>
      </c>
    </row>
    <row r="84" spans="1:5" ht="45" x14ac:dyDescent="0.25">
      <c r="A84" s="36">
        <v>80</v>
      </c>
      <c r="B84" s="38" t="s">
        <v>148</v>
      </c>
      <c r="C84" s="71" t="s">
        <v>611</v>
      </c>
      <c r="D84" s="80" t="s">
        <v>723</v>
      </c>
      <c r="E84" t="s">
        <v>729</v>
      </c>
    </row>
    <row r="85" spans="1:5" x14ac:dyDescent="0.25">
      <c r="A85" s="36">
        <v>81</v>
      </c>
      <c r="B85" s="34" t="s">
        <v>149</v>
      </c>
      <c r="C85" s="34"/>
      <c r="D85" s="80" t="s">
        <v>723</v>
      </c>
      <c r="E85" t="s">
        <v>729</v>
      </c>
    </row>
    <row r="86" spans="1:5" ht="30" x14ac:dyDescent="0.25">
      <c r="A86" s="36">
        <v>82</v>
      </c>
      <c r="B86" s="38" t="s">
        <v>612</v>
      </c>
      <c r="C86" s="34"/>
      <c r="D86" s="80" t="s">
        <v>723</v>
      </c>
      <c r="E86" t="s">
        <v>729</v>
      </c>
    </row>
    <row r="87" spans="1:5" x14ac:dyDescent="0.25">
      <c r="A87" s="36">
        <v>83</v>
      </c>
      <c r="B87" s="34" t="s">
        <v>150</v>
      </c>
      <c r="C87" s="34"/>
      <c r="D87" s="80" t="s">
        <v>723</v>
      </c>
      <c r="E87" t="s">
        <v>729</v>
      </c>
    </row>
    <row r="88" spans="1:5" ht="45" x14ac:dyDescent="0.25">
      <c r="A88" s="36">
        <v>84</v>
      </c>
      <c r="B88" s="34" t="s">
        <v>151</v>
      </c>
      <c r="C88" s="71" t="s">
        <v>613</v>
      </c>
      <c r="D88" s="80" t="s">
        <v>723</v>
      </c>
      <c r="E88" t="s">
        <v>729</v>
      </c>
    </row>
    <row r="89" spans="1:5" x14ac:dyDescent="0.25">
      <c r="A89" s="36">
        <v>85</v>
      </c>
      <c r="B89" s="34" t="s">
        <v>152</v>
      </c>
      <c r="C89" s="34"/>
      <c r="D89" s="80" t="s">
        <v>723</v>
      </c>
      <c r="E89" t="s">
        <v>729</v>
      </c>
    </row>
    <row r="90" spans="1:5" x14ac:dyDescent="0.25">
      <c r="A90" s="37">
        <v>86</v>
      </c>
      <c r="B90" s="38" t="s">
        <v>153</v>
      </c>
      <c r="C90" s="34"/>
      <c r="D90" s="80" t="s">
        <v>723</v>
      </c>
      <c r="E90" t="s">
        <v>730</v>
      </c>
    </row>
    <row r="91" spans="1:5" x14ac:dyDescent="0.25">
      <c r="A91" s="37">
        <v>87</v>
      </c>
      <c r="B91" s="38" t="s">
        <v>154</v>
      </c>
      <c r="C91" s="34"/>
      <c r="D91" s="80" t="s">
        <v>723</v>
      </c>
      <c r="E91" t="s">
        <v>730</v>
      </c>
    </row>
    <row r="92" spans="1:5" x14ac:dyDescent="0.25">
      <c r="A92" s="37">
        <v>88</v>
      </c>
      <c r="B92" s="38" t="s">
        <v>155</v>
      </c>
      <c r="C92" s="34"/>
      <c r="D92" s="80" t="s">
        <v>723</v>
      </c>
      <c r="E92" t="s">
        <v>730</v>
      </c>
    </row>
    <row r="93" spans="1:5" x14ac:dyDescent="0.25">
      <c r="A93" s="37">
        <v>89</v>
      </c>
      <c r="B93" s="38" t="s">
        <v>156</v>
      </c>
      <c r="C93" s="34"/>
      <c r="D93" s="80" t="s">
        <v>723</v>
      </c>
      <c r="E93" t="s">
        <v>730</v>
      </c>
    </row>
    <row r="94" spans="1:5" x14ac:dyDescent="0.25">
      <c r="A94" s="37">
        <v>90</v>
      </c>
      <c r="B94" s="38" t="s">
        <v>157</v>
      </c>
      <c r="C94" s="34"/>
      <c r="D94" s="80" t="s">
        <v>723</v>
      </c>
      <c r="E94" t="s">
        <v>730</v>
      </c>
    </row>
    <row r="95" spans="1:5" x14ac:dyDescent="0.25">
      <c r="A95" s="37">
        <v>91</v>
      </c>
      <c r="B95" s="38" t="s">
        <v>158</v>
      </c>
      <c r="C95" s="34"/>
      <c r="D95" s="80" t="s">
        <v>723</v>
      </c>
      <c r="E95" t="s">
        <v>730</v>
      </c>
    </row>
    <row r="96" spans="1:5" ht="30" x14ac:dyDescent="0.25">
      <c r="A96" s="37">
        <v>92</v>
      </c>
      <c r="B96" s="38" t="s">
        <v>159</v>
      </c>
      <c r="C96" s="34"/>
      <c r="D96" s="80" t="s">
        <v>723</v>
      </c>
      <c r="E96" t="s">
        <v>730</v>
      </c>
    </row>
    <row r="97" spans="1:5" x14ac:dyDescent="0.25">
      <c r="A97" s="37">
        <v>93</v>
      </c>
      <c r="B97" s="73" t="s">
        <v>614</v>
      </c>
      <c r="C97" s="34"/>
      <c r="D97" s="80" t="s">
        <v>723</v>
      </c>
      <c r="E97" t="s">
        <v>730</v>
      </c>
    </row>
    <row r="98" spans="1:5" x14ac:dyDescent="0.25">
      <c r="A98" s="36">
        <v>94</v>
      </c>
      <c r="B98" s="38" t="s">
        <v>615</v>
      </c>
      <c r="C98" s="34"/>
      <c r="D98" s="80" t="s">
        <v>723</v>
      </c>
      <c r="E98" t="s">
        <v>730</v>
      </c>
    </row>
    <row r="99" spans="1:5" ht="30" x14ac:dyDescent="0.25">
      <c r="A99" s="36">
        <v>95</v>
      </c>
      <c r="B99" s="34" t="s">
        <v>160</v>
      </c>
      <c r="C99" s="71" t="s">
        <v>616</v>
      </c>
      <c r="D99" s="80" t="s">
        <v>723</v>
      </c>
      <c r="E99" t="s">
        <v>730</v>
      </c>
    </row>
    <row r="100" spans="1:5" x14ac:dyDescent="0.25">
      <c r="A100" s="36">
        <v>96</v>
      </c>
      <c r="B100" s="34" t="s">
        <v>161</v>
      </c>
      <c r="C100" s="34"/>
      <c r="D100" s="80" t="s">
        <v>723</v>
      </c>
      <c r="E100" t="s">
        <v>730</v>
      </c>
    </row>
    <row r="101" spans="1:5" ht="60" x14ac:dyDescent="0.25">
      <c r="A101" s="36">
        <v>97</v>
      </c>
      <c r="B101" s="34" t="s">
        <v>162</v>
      </c>
      <c r="C101" s="71" t="s">
        <v>617</v>
      </c>
      <c r="D101" s="80" t="s">
        <v>723</v>
      </c>
      <c r="E101" t="s">
        <v>730</v>
      </c>
    </row>
    <row r="102" spans="1:5" x14ac:dyDescent="0.25">
      <c r="A102" s="36">
        <v>98</v>
      </c>
      <c r="B102" s="34" t="s">
        <v>618</v>
      </c>
      <c r="C102" s="34"/>
      <c r="D102" s="80" t="s">
        <v>723</v>
      </c>
      <c r="E102" t="s">
        <v>730</v>
      </c>
    </row>
    <row r="103" spans="1:5" x14ac:dyDescent="0.25">
      <c r="A103" s="74">
        <v>99</v>
      </c>
      <c r="B103" s="75" t="s">
        <v>619</v>
      </c>
      <c r="C103" s="76"/>
      <c r="D103" s="80" t="s">
        <v>723</v>
      </c>
      <c r="E103" t="s">
        <v>730</v>
      </c>
    </row>
  </sheetData>
  <mergeCells count="2">
    <mergeCell ref="A1:D1"/>
    <mergeCell ref="A3:D3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Plan2!$A$2:$A$5</xm:f>
          </x14:formula1>
          <xm:sqref>D75:D89 D33:D62 D63:D74 D5:D14 D15:D32 D90:D103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M109"/>
  <sheetViews>
    <sheetView zoomScale="120" zoomScaleNormal="120" workbookViewId="0">
      <selection activeCell="E4" sqref="E4"/>
    </sheetView>
  </sheetViews>
  <sheetFormatPr defaultRowHeight="15" x14ac:dyDescent="0.25"/>
  <cols>
    <col min="1" max="1" width="5.7109375" bestFit="1" customWidth="1"/>
    <col min="2" max="2" width="81" bestFit="1" customWidth="1"/>
    <col min="3" max="3" width="24.42578125" bestFit="1" customWidth="1"/>
    <col min="4" max="4" width="12.7109375" customWidth="1"/>
  </cols>
  <sheetData>
    <row r="1" spans="1:13" ht="99.75" customHeight="1" x14ac:dyDescent="0.25">
      <c r="A1" s="101" t="s">
        <v>61</v>
      </c>
      <c r="B1" s="102"/>
      <c r="C1" s="102"/>
      <c r="D1" s="102"/>
      <c r="E1" s="32"/>
      <c r="F1" s="32"/>
      <c r="G1" s="32"/>
      <c r="H1" s="32"/>
      <c r="I1" s="32"/>
      <c r="J1" s="32"/>
      <c r="K1" s="32"/>
      <c r="L1" s="32"/>
      <c r="M1" s="32"/>
    </row>
    <row r="3" spans="1:13" ht="15.75" x14ac:dyDescent="0.25">
      <c r="A3" s="100" t="s">
        <v>731</v>
      </c>
      <c r="B3" s="100"/>
      <c r="C3" s="100"/>
      <c r="D3" s="100"/>
    </row>
    <row r="4" spans="1:13" ht="18.75" x14ac:dyDescent="0.3">
      <c r="A4" s="33" t="s">
        <v>59</v>
      </c>
      <c r="B4" s="33" t="s">
        <v>60</v>
      </c>
      <c r="C4" s="35" t="s">
        <v>57</v>
      </c>
      <c r="D4" s="33" t="s">
        <v>25</v>
      </c>
      <c r="E4" s="33" t="s">
        <v>1</v>
      </c>
    </row>
    <row r="5" spans="1:13" x14ac:dyDescent="0.25">
      <c r="A5" s="39">
        <v>1</v>
      </c>
      <c r="B5" s="39" t="s">
        <v>302</v>
      </c>
      <c r="C5" s="34"/>
      <c r="D5" s="80" t="s">
        <v>723</v>
      </c>
      <c r="E5" t="s">
        <v>725</v>
      </c>
    </row>
    <row r="6" spans="1:13" x14ac:dyDescent="0.25">
      <c r="A6" s="39">
        <v>2</v>
      </c>
      <c r="B6" s="34" t="s">
        <v>303</v>
      </c>
      <c r="C6" s="34"/>
      <c r="D6" s="80" t="s">
        <v>723</v>
      </c>
      <c r="E6" t="s">
        <v>725</v>
      </c>
    </row>
    <row r="7" spans="1:13" x14ac:dyDescent="0.25">
      <c r="A7" s="39">
        <v>3</v>
      </c>
      <c r="B7" s="34" t="s">
        <v>664</v>
      </c>
      <c r="C7" s="34"/>
      <c r="D7" s="80" t="s">
        <v>723</v>
      </c>
      <c r="E7" t="s">
        <v>725</v>
      </c>
    </row>
    <row r="8" spans="1:13" x14ac:dyDescent="0.25">
      <c r="A8" s="39">
        <v>4</v>
      </c>
      <c r="B8" s="34" t="s">
        <v>304</v>
      </c>
      <c r="C8" s="34"/>
      <c r="D8" s="80" t="s">
        <v>723</v>
      </c>
      <c r="E8" t="s">
        <v>725</v>
      </c>
    </row>
    <row r="9" spans="1:13" x14ac:dyDescent="0.25">
      <c r="A9" s="39">
        <v>5</v>
      </c>
      <c r="B9" s="34" t="s">
        <v>305</v>
      </c>
      <c r="C9" s="34"/>
      <c r="D9" s="80" t="s">
        <v>723</v>
      </c>
      <c r="E9" t="s">
        <v>725</v>
      </c>
    </row>
    <row r="10" spans="1:13" x14ac:dyDescent="0.25">
      <c r="A10" s="39">
        <v>6</v>
      </c>
      <c r="B10" s="34" t="s">
        <v>313</v>
      </c>
      <c r="C10" s="34"/>
      <c r="D10" s="80" t="s">
        <v>723</v>
      </c>
      <c r="E10" t="s">
        <v>725</v>
      </c>
    </row>
    <row r="11" spans="1:13" x14ac:dyDescent="0.25">
      <c r="A11" s="39">
        <v>7</v>
      </c>
      <c r="B11" s="34" t="s">
        <v>306</v>
      </c>
      <c r="C11" s="34"/>
      <c r="D11" s="80" t="s">
        <v>723</v>
      </c>
      <c r="E11" t="s">
        <v>725</v>
      </c>
    </row>
    <row r="12" spans="1:13" x14ac:dyDescent="0.25">
      <c r="A12" s="39">
        <v>8</v>
      </c>
      <c r="B12" s="34" t="s">
        <v>307</v>
      </c>
      <c r="C12" s="34"/>
      <c r="D12" s="80" t="s">
        <v>723</v>
      </c>
      <c r="E12" t="s">
        <v>725</v>
      </c>
    </row>
    <row r="13" spans="1:13" x14ac:dyDescent="0.25">
      <c r="A13" s="39">
        <v>9</v>
      </c>
      <c r="B13" s="34" t="s">
        <v>308</v>
      </c>
      <c r="C13" s="34"/>
      <c r="D13" s="80" t="s">
        <v>723</v>
      </c>
      <c r="E13" t="s">
        <v>725</v>
      </c>
    </row>
    <row r="14" spans="1:13" x14ac:dyDescent="0.25">
      <c r="A14" s="39">
        <v>10</v>
      </c>
      <c r="B14" s="34" t="s">
        <v>309</v>
      </c>
      <c r="C14" s="34"/>
      <c r="D14" s="80" t="s">
        <v>723</v>
      </c>
      <c r="E14" t="s">
        <v>725</v>
      </c>
    </row>
    <row r="15" spans="1:13" x14ac:dyDescent="0.25">
      <c r="A15" s="39">
        <v>11</v>
      </c>
      <c r="B15" s="34" t="s">
        <v>310</v>
      </c>
      <c r="C15" s="34"/>
      <c r="D15" s="80" t="s">
        <v>723</v>
      </c>
      <c r="E15" t="s">
        <v>725</v>
      </c>
    </row>
    <row r="16" spans="1:13" x14ac:dyDescent="0.25">
      <c r="A16" s="39">
        <v>12</v>
      </c>
      <c r="B16" s="34" t="s">
        <v>311</v>
      </c>
      <c r="C16" s="34"/>
      <c r="D16" s="80" t="s">
        <v>723</v>
      </c>
      <c r="E16" t="s">
        <v>725</v>
      </c>
    </row>
    <row r="17" spans="1:5" x14ac:dyDescent="0.25">
      <c r="A17" s="39">
        <v>13</v>
      </c>
      <c r="B17" s="34" t="s">
        <v>312</v>
      </c>
      <c r="C17" s="34"/>
      <c r="D17" s="80" t="s">
        <v>723</v>
      </c>
      <c r="E17" t="s">
        <v>725</v>
      </c>
    </row>
    <row r="18" spans="1:5" x14ac:dyDescent="0.25">
      <c r="A18" s="40">
        <v>14</v>
      </c>
      <c r="B18" s="38" t="s">
        <v>314</v>
      </c>
      <c r="C18" s="34"/>
      <c r="D18" s="80" t="s">
        <v>27</v>
      </c>
      <c r="E18" t="s">
        <v>726</v>
      </c>
    </row>
    <row r="19" spans="1:5" x14ac:dyDescent="0.25">
      <c r="A19" s="40">
        <v>15</v>
      </c>
      <c r="B19" s="38" t="s">
        <v>315</v>
      </c>
      <c r="C19" s="34"/>
      <c r="D19" s="80" t="s">
        <v>27</v>
      </c>
      <c r="E19" t="s">
        <v>726</v>
      </c>
    </row>
    <row r="20" spans="1:5" ht="32.25" customHeight="1" x14ac:dyDescent="0.25">
      <c r="A20" s="40">
        <v>16</v>
      </c>
      <c r="B20" s="38" t="s">
        <v>325</v>
      </c>
      <c r="C20" s="34"/>
      <c r="D20" s="80" t="s">
        <v>27</v>
      </c>
      <c r="E20" t="s">
        <v>726</v>
      </c>
    </row>
    <row r="21" spans="1:5" x14ac:dyDescent="0.25">
      <c r="A21" s="40">
        <v>17</v>
      </c>
      <c r="B21" s="38" t="s">
        <v>316</v>
      </c>
      <c r="C21" s="34"/>
      <c r="D21" s="80" t="s">
        <v>27</v>
      </c>
      <c r="E21" t="s">
        <v>726</v>
      </c>
    </row>
    <row r="22" spans="1:5" x14ac:dyDescent="0.25">
      <c r="A22" s="40">
        <v>18</v>
      </c>
      <c r="B22" s="38" t="s">
        <v>317</v>
      </c>
      <c r="C22" s="34"/>
      <c r="D22" s="80" t="s">
        <v>27</v>
      </c>
      <c r="E22" t="s">
        <v>726</v>
      </c>
    </row>
    <row r="23" spans="1:5" x14ac:dyDescent="0.25">
      <c r="A23" s="40">
        <v>19</v>
      </c>
      <c r="B23" s="38" t="s">
        <v>318</v>
      </c>
      <c r="C23" s="34"/>
      <c r="D23" s="80" t="s">
        <v>27</v>
      </c>
      <c r="E23" t="s">
        <v>726</v>
      </c>
    </row>
    <row r="24" spans="1:5" x14ac:dyDescent="0.25">
      <c r="A24" s="40">
        <v>20</v>
      </c>
      <c r="B24" s="38" t="s">
        <v>319</v>
      </c>
      <c r="C24" s="34"/>
      <c r="D24" s="80" t="s">
        <v>27</v>
      </c>
      <c r="E24" t="s">
        <v>726</v>
      </c>
    </row>
    <row r="25" spans="1:5" x14ac:dyDescent="0.25">
      <c r="A25" s="40">
        <v>21</v>
      </c>
      <c r="B25" s="38" t="s">
        <v>320</v>
      </c>
      <c r="C25" s="34"/>
      <c r="D25" s="80" t="s">
        <v>27</v>
      </c>
      <c r="E25" t="s">
        <v>726</v>
      </c>
    </row>
    <row r="26" spans="1:5" x14ac:dyDescent="0.25">
      <c r="A26" s="40">
        <v>22</v>
      </c>
      <c r="B26" s="38" t="s">
        <v>321</v>
      </c>
      <c r="C26" s="34"/>
      <c r="D26" s="80" t="s">
        <v>27</v>
      </c>
      <c r="E26" t="s">
        <v>726</v>
      </c>
    </row>
    <row r="27" spans="1:5" x14ac:dyDescent="0.25">
      <c r="A27" s="40">
        <v>23</v>
      </c>
      <c r="B27" s="38" t="s">
        <v>322</v>
      </c>
      <c r="C27" s="34"/>
      <c r="D27" s="80" t="s">
        <v>27</v>
      </c>
      <c r="E27" t="s">
        <v>726</v>
      </c>
    </row>
    <row r="28" spans="1:5" x14ac:dyDescent="0.25">
      <c r="A28" s="40">
        <v>24</v>
      </c>
      <c r="B28" s="38" t="s">
        <v>323</v>
      </c>
      <c r="C28" s="34"/>
      <c r="D28" s="80" t="s">
        <v>27</v>
      </c>
      <c r="E28" t="s">
        <v>726</v>
      </c>
    </row>
    <row r="29" spans="1:5" x14ac:dyDescent="0.25">
      <c r="A29" s="40">
        <v>25</v>
      </c>
      <c r="B29" s="38" t="s">
        <v>324</v>
      </c>
      <c r="C29" s="34"/>
      <c r="D29" s="80" t="s">
        <v>27</v>
      </c>
      <c r="E29" t="s">
        <v>726</v>
      </c>
    </row>
    <row r="30" spans="1:5" ht="30" x14ac:dyDescent="0.25">
      <c r="A30" s="39">
        <v>26</v>
      </c>
      <c r="B30" s="38" t="s">
        <v>326</v>
      </c>
      <c r="C30" s="34"/>
      <c r="D30" s="80" t="s">
        <v>27</v>
      </c>
      <c r="E30" t="s">
        <v>727</v>
      </c>
    </row>
    <row r="31" spans="1:5" x14ac:dyDescent="0.25">
      <c r="A31" s="39">
        <v>27</v>
      </c>
      <c r="B31" s="34" t="s">
        <v>327</v>
      </c>
      <c r="C31" s="34"/>
      <c r="D31" s="80" t="s">
        <v>27</v>
      </c>
      <c r="E31" t="s">
        <v>727</v>
      </c>
    </row>
    <row r="32" spans="1:5" x14ac:dyDescent="0.25">
      <c r="A32" s="39">
        <v>28</v>
      </c>
      <c r="B32" s="34" t="s">
        <v>328</v>
      </c>
      <c r="C32" s="34"/>
      <c r="D32" s="80" t="s">
        <v>27</v>
      </c>
      <c r="E32" t="s">
        <v>727</v>
      </c>
    </row>
    <row r="33" spans="1:5" x14ac:dyDescent="0.25">
      <c r="A33" s="39">
        <v>29</v>
      </c>
      <c r="B33" s="34" t="s">
        <v>329</v>
      </c>
      <c r="C33" s="34"/>
      <c r="D33" s="80" t="s">
        <v>27</v>
      </c>
      <c r="E33" t="s">
        <v>727</v>
      </c>
    </row>
    <row r="34" spans="1:5" x14ac:dyDescent="0.25">
      <c r="A34" s="39">
        <v>30</v>
      </c>
      <c r="B34" s="34" t="s">
        <v>330</v>
      </c>
      <c r="C34" s="34"/>
      <c r="D34" s="80" t="s">
        <v>27</v>
      </c>
      <c r="E34" t="s">
        <v>727</v>
      </c>
    </row>
    <row r="35" spans="1:5" x14ac:dyDescent="0.25">
      <c r="A35" s="39">
        <v>31</v>
      </c>
      <c r="B35" s="34" t="s">
        <v>331</v>
      </c>
      <c r="C35" s="34"/>
      <c r="D35" s="80" t="s">
        <v>27</v>
      </c>
      <c r="E35" t="s">
        <v>727</v>
      </c>
    </row>
    <row r="36" spans="1:5" x14ac:dyDescent="0.25">
      <c r="A36" s="39">
        <v>32</v>
      </c>
      <c r="B36" s="34" t="s">
        <v>332</v>
      </c>
      <c r="C36" s="34"/>
      <c r="D36" s="80" t="s">
        <v>27</v>
      </c>
      <c r="E36" t="s">
        <v>727</v>
      </c>
    </row>
    <row r="37" spans="1:5" x14ac:dyDescent="0.25">
      <c r="A37" s="39">
        <v>33</v>
      </c>
      <c r="B37" s="34" t="s">
        <v>333</v>
      </c>
      <c r="C37" s="34"/>
      <c r="D37" s="80" t="s">
        <v>27</v>
      </c>
      <c r="E37" t="s">
        <v>727</v>
      </c>
    </row>
    <row r="38" spans="1:5" x14ac:dyDescent="0.25">
      <c r="A38" s="39">
        <v>34</v>
      </c>
      <c r="B38" s="34" t="s">
        <v>334</v>
      </c>
      <c r="C38" s="34"/>
      <c r="D38" s="80" t="s">
        <v>27</v>
      </c>
      <c r="E38" t="s">
        <v>727</v>
      </c>
    </row>
    <row r="39" spans="1:5" x14ac:dyDescent="0.25">
      <c r="A39" s="39">
        <v>35</v>
      </c>
      <c r="B39" s="34" t="s">
        <v>335</v>
      </c>
      <c r="C39" s="34"/>
      <c r="D39" s="80" t="s">
        <v>27</v>
      </c>
      <c r="E39" t="s">
        <v>727</v>
      </c>
    </row>
    <row r="40" spans="1:5" x14ac:dyDescent="0.25">
      <c r="A40" s="39">
        <v>36</v>
      </c>
      <c r="B40" s="34" t="s">
        <v>336</v>
      </c>
      <c r="C40" s="34"/>
      <c r="D40" s="80" t="s">
        <v>27</v>
      </c>
      <c r="E40" t="s">
        <v>727</v>
      </c>
    </row>
    <row r="41" spans="1:5" x14ac:dyDescent="0.25">
      <c r="A41" s="39">
        <v>37</v>
      </c>
      <c r="B41" s="34" t="s">
        <v>337</v>
      </c>
      <c r="C41" s="34"/>
      <c r="D41" s="80" t="s">
        <v>27</v>
      </c>
      <c r="E41" t="s">
        <v>727</v>
      </c>
    </row>
    <row r="42" spans="1:5" x14ac:dyDescent="0.25">
      <c r="A42" s="39">
        <v>38</v>
      </c>
      <c r="B42" s="34" t="s">
        <v>338</v>
      </c>
      <c r="C42" s="34"/>
      <c r="D42" s="80" t="s">
        <v>27</v>
      </c>
      <c r="E42" t="s">
        <v>727</v>
      </c>
    </row>
    <row r="43" spans="1:5" x14ac:dyDescent="0.25">
      <c r="A43" s="39">
        <v>39</v>
      </c>
      <c r="B43" s="34" t="s">
        <v>339</v>
      </c>
      <c r="C43" s="34"/>
      <c r="D43" s="80" t="s">
        <v>27</v>
      </c>
      <c r="E43" t="s">
        <v>727</v>
      </c>
    </row>
    <row r="44" spans="1:5" x14ac:dyDescent="0.25">
      <c r="A44" s="39">
        <v>40</v>
      </c>
      <c r="B44" s="34" t="s">
        <v>340</v>
      </c>
      <c r="C44" s="34"/>
      <c r="D44" s="80" t="s">
        <v>27</v>
      </c>
      <c r="E44" t="s">
        <v>727</v>
      </c>
    </row>
    <row r="45" spans="1:5" x14ac:dyDescent="0.25">
      <c r="A45" s="39">
        <v>41</v>
      </c>
      <c r="B45" s="34" t="s">
        <v>341</v>
      </c>
      <c r="C45" s="34"/>
      <c r="D45" s="80" t="s">
        <v>27</v>
      </c>
      <c r="E45" t="s">
        <v>727</v>
      </c>
    </row>
    <row r="46" spans="1:5" x14ac:dyDescent="0.25">
      <c r="A46" s="39">
        <v>42</v>
      </c>
      <c r="B46" s="34" t="s">
        <v>342</v>
      </c>
      <c r="C46" s="34"/>
      <c r="D46" s="80" t="s">
        <v>27</v>
      </c>
      <c r="E46" t="s">
        <v>727</v>
      </c>
    </row>
    <row r="47" spans="1:5" x14ac:dyDescent="0.25">
      <c r="A47" s="39">
        <v>43</v>
      </c>
      <c r="B47" s="34" t="s">
        <v>343</v>
      </c>
      <c r="C47" s="34"/>
      <c r="D47" s="80" t="s">
        <v>27</v>
      </c>
      <c r="E47" t="s">
        <v>727</v>
      </c>
    </row>
    <row r="48" spans="1:5" x14ac:dyDescent="0.25">
      <c r="A48" s="39">
        <v>44</v>
      </c>
      <c r="B48" s="34" t="s">
        <v>344</v>
      </c>
      <c r="C48" s="34"/>
      <c r="D48" s="80" t="s">
        <v>27</v>
      </c>
      <c r="E48" t="s">
        <v>727</v>
      </c>
    </row>
    <row r="49" spans="1:5" x14ac:dyDescent="0.25">
      <c r="A49" s="39">
        <v>45</v>
      </c>
      <c r="B49" s="34" t="s">
        <v>345</v>
      </c>
      <c r="C49" s="34"/>
      <c r="D49" s="80" t="s">
        <v>27</v>
      </c>
      <c r="E49" t="s">
        <v>727</v>
      </c>
    </row>
    <row r="50" spans="1:5" x14ac:dyDescent="0.25">
      <c r="A50" s="39">
        <v>46</v>
      </c>
      <c r="B50" s="34" t="s">
        <v>346</v>
      </c>
      <c r="C50" s="34"/>
      <c r="D50" s="80" t="s">
        <v>27</v>
      </c>
      <c r="E50" t="s">
        <v>727</v>
      </c>
    </row>
    <row r="51" spans="1:5" x14ac:dyDescent="0.25">
      <c r="A51" s="39">
        <v>47</v>
      </c>
      <c r="B51" s="34" t="s">
        <v>347</v>
      </c>
      <c r="C51" s="34"/>
      <c r="D51" s="80" t="s">
        <v>27</v>
      </c>
      <c r="E51" t="s">
        <v>727</v>
      </c>
    </row>
    <row r="52" spans="1:5" x14ac:dyDescent="0.25">
      <c r="A52" s="39">
        <v>48</v>
      </c>
      <c r="B52" s="34" t="s">
        <v>348</v>
      </c>
      <c r="C52" s="34"/>
      <c r="D52" s="80" t="s">
        <v>27</v>
      </c>
      <c r="E52" t="s">
        <v>727</v>
      </c>
    </row>
    <row r="53" spans="1:5" x14ac:dyDescent="0.25">
      <c r="A53" s="39">
        <v>49</v>
      </c>
      <c r="B53" s="34" t="s">
        <v>349</v>
      </c>
      <c r="C53" s="34"/>
      <c r="D53" s="80" t="s">
        <v>27</v>
      </c>
      <c r="E53" t="s">
        <v>727</v>
      </c>
    </row>
    <row r="54" spans="1:5" x14ac:dyDescent="0.25">
      <c r="A54" s="39">
        <v>50</v>
      </c>
      <c r="B54" s="34" t="s">
        <v>350</v>
      </c>
      <c r="C54" s="34"/>
      <c r="D54" s="80" t="s">
        <v>27</v>
      </c>
      <c r="E54" t="s">
        <v>727</v>
      </c>
    </row>
    <row r="55" spans="1:5" x14ac:dyDescent="0.25">
      <c r="A55" s="39">
        <v>51</v>
      </c>
      <c r="B55" s="34" t="s">
        <v>351</v>
      </c>
      <c r="C55" s="34"/>
      <c r="D55" s="80" t="s">
        <v>27</v>
      </c>
      <c r="E55" t="s">
        <v>727</v>
      </c>
    </row>
    <row r="56" spans="1:5" x14ac:dyDescent="0.25">
      <c r="A56" s="39">
        <v>52</v>
      </c>
      <c r="B56" s="34" t="s">
        <v>352</v>
      </c>
      <c r="C56" s="34"/>
      <c r="D56" s="80" t="s">
        <v>27</v>
      </c>
      <c r="E56" t="s">
        <v>727</v>
      </c>
    </row>
    <row r="57" spans="1:5" x14ac:dyDescent="0.25">
      <c r="A57" s="39">
        <v>53</v>
      </c>
      <c r="B57" s="38" t="s">
        <v>353</v>
      </c>
      <c r="C57" s="34"/>
      <c r="D57" s="80" t="s">
        <v>27</v>
      </c>
      <c r="E57" t="s">
        <v>728</v>
      </c>
    </row>
    <row r="58" spans="1:5" ht="30" x14ac:dyDescent="0.25">
      <c r="A58" s="39">
        <v>54</v>
      </c>
      <c r="B58" s="38" t="s">
        <v>354</v>
      </c>
      <c r="C58" s="34"/>
      <c r="D58" s="80" t="s">
        <v>27</v>
      </c>
      <c r="E58" t="s">
        <v>728</v>
      </c>
    </row>
    <row r="59" spans="1:5" x14ac:dyDescent="0.25">
      <c r="A59" s="39">
        <v>55</v>
      </c>
      <c r="B59" s="38" t="s">
        <v>355</v>
      </c>
      <c r="C59" s="34"/>
      <c r="D59" s="80" t="s">
        <v>27</v>
      </c>
      <c r="E59" t="s">
        <v>728</v>
      </c>
    </row>
    <row r="60" spans="1:5" x14ac:dyDescent="0.25">
      <c r="A60" s="39">
        <v>56</v>
      </c>
      <c r="B60" s="38" t="s">
        <v>356</v>
      </c>
      <c r="C60" s="34"/>
      <c r="D60" s="80" t="s">
        <v>27</v>
      </c>
      <c r="E60" t="s">
        <v>728</v>
      </c>
    </row>
    <row r="61" spans="1:5" x14ac:dyDescent="0.25">
      <c r="A61" s="39">
        <v>57</v>
      </c>
      <c r="B61" s="38" t="s">
        <v>357</v>
      </c>
      <c r="C61" s="34"/>
      <c r="D61" s="80" t="s">
        <v>27</v>
      </c>
      <c r="E61" t="s">
        <v>728</v>
      </c>
    </row>
    <row r="62" spans="1:5" x14ac:dyDescent="0.25">
      <c r="A62" s="39">
        <v>58</v>
      </c>
      <c r="B62" s="38" t="s">
        <v>358</v>
      </c>
      <c r="C62" s="34"/>
      <c r="D62" s="80" t="s">
        <v>27</v>
      </c>
      <c r="E62" t="s">
        <v>728</v>
      </c>
    </row>
    <row r="63" spans="1:5" x14ac:dyDescent="0.25">
      <c r="A63" s="39">
        <v>59</v>
      </c>
      <c r="B63" s="38" t="s">
        <v>359</v>
      </c>
      <c r="C63" s="34"/>
      <c r="D63" s="80" t="s">
        <v>27</v>
      </c>
      <c r="E63" t="s">
        <v>728</v>
      </c>
    </row>
    <row r="64" spans="1:5" x14ac:dyDescent="0.25">
      <c r="A64" s="39">
        <v>60</v>
      </c>
      <c r="B64" s="38" t="s">
        <v>360</v>
      </c>
      <c r="C64" s="34"/>
      <c r="D64" s="80" t="s">
        <v>27</v>
      </c>
      <c r="E64" t="s">
        <v>728</v>
      </c>
    </row>
    <row r="65" spans="1:5" x14ac:dyDescent="0.25">
      <c r="A65" s="39">
        <v>61</v>
      </c>
      <c r="B65" s="38" t="s">
        <v>361</v>
      </c>
      <c r="C65" s="34"/>
      <c r="D65" s="80" t="s">
        <v>27</v>
      </c>
      <c r="E65" t="s">
        <v>728</v>
      </c>
    </row>
    <row r="66" spans="1:5" x14ac:dyDescent="0.25">
      <c r="A66" s="39">
        <v>62</v>
      </c>
      <c r="B66" s="38" t="s">
        <v>362</v>
      </c>
      <c r="C66" s="34"/>
      <c r="D66" s="80" t="s">
        <v>27</v>
      </c>
      <c r="E66" t="s">
        <v>728</v>
      </c>
    </row>
    <row r="67" spans="1:5" x14ac:dyDescent="0.25">
      <c r="A67" s="39">
        <v>63</v>
      </c>
      <c r="B67" s="38" t="s">
        <v>363</v>
      </c>
      <c r="C67" s="34"/>
      <c r="D67" s="80" t="s">
        <v>27</v>
      </c>
      <c r="E67" t="s">
        <v>728</v>
      </c>
    </row>
    <row r="68" spans="1:5" x14ac:dyDescent="0.25">
      <c r="A68" s="39">
        <v>64</v>
      </c>
      <c r="B68" s="38" t="s">
        <v>364</v>
      </c>
      <c r="C68" s="34"/>
      <c r="D68" s="80" t="s">
        <v>27</v>
      </c>
      <c r="E68" t="s">
        <v>728</v>
      </c>
    </row>
    <row r="69" spans="1:5" x14ac:dyDescent="0.25">
      <c r="A69" s="39">
        <v>65</v>
      </c>
      <c r="B69" s="38" t="s">
        <v>365</v>
      </c>
      <c r="C69" s="34"/>
      <c r="D69" s="80" t="s">
        <v>27</v>
      </c>
      <c r="E69" t="s">
        <v>728</v>
      </c>
    </row>
    <row r="70" spans="1:5" x14ac:dyDescent="0.25">
      <c r="A70" s="39">
        <v>66</v>
      </c>
      <c r="B70" s="38" t="s">
        <v>366</v>
      </c>
      <c r="C70" s="34"/>
      <c r="D70" s="80" t="s">
        <v>27</v>
      </c>
      <c r="E70" t="s">
        <v>728</v>
      </c>
    </row>
    <row r="71" spans="1:5" x14ac:dyDescent="0.25">
      <c r="A71" s="39">
        <v>67</v>
      </c>
      <c r="B71" s="38" t="s">
        <v>367</v>
      </c>
      <c r="C71" s="34"/>
      <c r="D71" s="80" t="s">
        <v>27</v>
      </c>
      <c r="E71" t="s">
        <v>728</v>
      </c>
    </row>
    <row r="72" spans="1:5" x14ac:dyDescent="0.25">
      <c r="A72" s="40">
        <v>68</v>
      </c>
      <c r="B72" s="38" t="s">
        <v>368</v>
      </c>
      <c r="C72" s="34"/>
      <c r="D72" s="80" t="s">
        <v>27</v>
      </c>
      <c r="E72" t="s">
        <v>729</v>
      </c>
    </row>
    <row r="73" spans="1:5" x14ac:dyDescent="0.25">
      <c r="A73" s="40">
        <v>69</v>
      </c>
      <c r="B73" s="38" t="s">
        <v>369</v>
      </c>
      <c r="C73" s="34"/>
      <c r="D73" s="80" t="s">
        <v>27</v>
      </c>
      <c r="E73" t="s">
        <v>729</v>
      </c>
    </row>
    <row r="74" spans="1:5" x14ac:dyDescent="0.25">
      <c r="A74" s="40">
        <v>70</v>
      </c>
      <c r="B74" s="38" t="s">
        <v>370</v>
      </c>
      <c r="C74" s="34"/>
      <c r="D74" s="80" t="s">
        <v>27</v>
      </c>
      <c r="E74" t="s">
        <v>729</v>
      </c>
    </row>
    <row r="75" spans="1:5" x14ac:dyDescent="0.25">
      <c r="A75" s="40">
        <v>71</v>
      </c>
      <c r="B75" s="38" t="s">
        <v>371</v>
      </c>
      <c r="C75" s="34"/>
      <c r="D75" s="80" t="s">
        <v>27</v>
      </c>
      <c r="E75" t="s">
        <v>729</v>
      </c>
    </row>
    <row r="76" spans="1:5" x14ac:dyDescent="0.25">
      <c r="A76" s="40">
        <v>72</v>
      </c>
      <c r="B76" s="38" t="s">
        <v>372</v>
      </c>
      <c r="C76" s="34"/>
      <c r="D76" s="80" t="s">
        <v>27</v>
      </c>
      <c r="E76" t="s">
        <v>729</v>
      </c>
    </row>
    <row r="77" spans="1:5" x14ac:dyDescent="0.25">
      <c r="A77" s="40">
        <v>73</v>
      </c>
      <c r="B77" s="38" t="s">
        <v>373</v>
      </c>
      <c r="C77" s="34"/>
      <c r="D77" s="80" t="s">
        <v>27</v>
      </c>
      <c r="E77" t="s">
        <v>729</v>
      </c>
    </row>
    <row r="78" spans="1:5" x14ac:dyDescent="0.25">
      <c r="A78" s="40">
        <v>74</v>
      </c>
      <c r="B78" s="38" t="s">
        <v>374</v>
      </c>
      <c r="C78" s="34"/>
      <c r="D78" s="80" t="s">
        <v>27</v>
      </c>
      <c r="E78" t="s">
        <v>729</v>
      </c>
    </row>
    <row r="79" spans="1:5" x14ac:dyDescent="0.25">
      <c r="A79" s="40">
        <v>75</v>
      </c>
      <c r="B79" s="38" t="s">
        <v>375</v>
      </c>
      <c r="C79" s="34"/>
      <c r="D79" s="80" t="s">
        <v>27</v>
      </c>
      <c r="E79" t="s">
        <v>729</v>
      </c>
    </row>
    <row r="80" spans="1:5" x14ac:dyDescent="0.25">
      <c r="A80" s="40">
        <v>76</v>
      </c>
      <c r="B80" s="38" t="s">
        <v>376</v>
      </c>
      <c r="C80" s="34"/>
      <c r="D80" s="80" t="s">
        <v>27</v>
      </c>
      <c r="E80" t="s">
        <v>729</v>
      </c>
    </row>
    <row r="81" spans="1:5" x14ac:dyDescent="0.25">
      <c r="A81" s="40">
        <v>77</v>
      </c>
      <c r="B81" s="38" t="s">
        <v>377</v>
      </c>
      <c r="C81" s="34"/>
      <c r="D81" s="80" t="s">
        <v>27</v>
      </c>
      <c r="E81" t="s">
        <v>729</v>
      </c>
    </row>
    <row r="82" spans="1:5" x14ac:dyDescent="0.25">
      <c r="A82" s="40">
        <v>78</v>
      </c>
      <c r="B82" s="38" t="s">
        <v>378</v>
      </c>
      <c r="C82" s="34"/>
      <c r="D82" s="80" t="s">
        <v>27</v>
      </c>
      <c r="E82" t="s">
        <v>729</v>
      </c>
    </row>
    <row r="83" spans="1:5" x14ac:dyDescent="0.25">
      <c r="A83" s="40">
        <v>79</v>
      </c>
      <c r="B83" s="38" t="s">
        <v>379</v>
      </c>
      <c r="C83" s="34"/>
      <c r="D83" s="80" t="s">
        <v>27</v>
      </c>
      <c r="E83" t="s">
        <v>729</v>
      </c>
    </row>
    <row r="84" spans="1:5" x14ac:dyDescent="0.25">
      <c r="A84" s="40">
        <v>80</v>
      </c>
      <c r="B84" s="38" t="s">
        <v>380</v>
      </c>
      <c r="C84" s="34"/>
      <c r="D84" s="80" t="s">
        <v>27</v>
      </c>
      <c r="E84" t="s">
        <v>729</v>
      </c>
    </row>
    <row r="85" spans="1:5" x14ac:dyDescent="0.25">
      <c r="A85" s="40">
        <v>81</v>
      </c>
      <c r="B85" s="38" t="s">
        <v>381</v>
      </c>
      <c r="C85" s="34"/>
      <c r="D85" s="80" t="s">
        <v>27</v>
      </c>
      <c r="E85" t="s">
        <v>729</v>
      </c>
    </row>
    <row r="86" spans="1:5" x14ac:dyDescent="0.25">
      <c r="A86" s="40">
        <v>82</v>
      </c>
      <c r="B86" s="38" t="s">
        <v>382</v>
      </c>
      <c r="C86" s="34"/>
      <c r="D86" s="80" t="s">
        <v>27</v>
      </c>
      <c r="E86" t="s">
        <v>729</v>
      </c>
    </row>
    <row r="87" spans="1:5" x14ac:dyDescent="0.25">
      <c r="A87" s="40">
        <v>83</v>
      </c>
      <c r="B87" s="38" t="s">
        <v>383</v>
      </c>
      <c r="C87" s="34"/>
      <c r="D87" s="80" t="s">
        <v>27</v>
      </c>
      <c r="E87" t="s">
        <v>729</v>
      </c>
    </row>
    <row r="88" spans="1:5" x14ac:dyDescent="0.25">
      <c r="A88" s="40">
        <v>84</v>
      </c>
      <c r="B88" s="38" t="s">
        <v>384</v>
      </c>
      <c r="C88" s="34"/>
      <c r="D88" s="80" t="s">
        <v>27</v>
      </c>
      <c r="E88" t="s">
        <v>729</v>
      </c>
    </row>
    <row r="89" spans="1:5" ht="30" x14ac:dyDescent="0.25">
      <c r="A89" s="40">
        <v>85</v>
      </c>
      <c r="B89" s="38" t="s">
        <v>385</v>
      </c>
      <c r="C89" s="34"/>
      <c r="D89" s="80" t="s">
        <v>27</v>
      </c>
      <c r="E89" t="s">
        <v>729</v>
      </c>
    </row>
    <row r="90" spans="1:5" x14ac:dyDescent="0.25">
      <c r="A90" s="40">
        <v>86</v>
      </c>
      <c r="B90" s="38" t="s">
        <v>386</v>
      </c>
      <c r="C90" s="34"/>
      <c r="D90" s="80" t="s">
        <v>27</v>
      </c>
      <c r="E90" t="s">
        <v>729</v>
      </c>
    </row>
    <row r="91" spans="1:5" x14ac:dyDescent="0.25">
      <c r="A91" s="40">
        <v>87</v>
      </c>
      <c r="B91" s="38" t="s">
        <v>387</v>
      </c>
      <c r="C91" s="34"/>
      <c r="D91" s="80" t="s">
        <v>27</v>
      </c>
      <c r="E91" t="s">
        <v>729</v>
      </c>
    </row>
    <row r="92" spans="1:5" x14ac:dyDescent="0.25">
      <c r="A92" s="40">
        <v>88</v>
      </c>
      <c r="B92" s="38" t="s">
        <v>388</v>
      </c>
      <c r="C92" s="34"/>
      <c r="D92" s="80" t="s">
        <v>27</v>
      </c>
      <c r="E92" t="s">
        <v>729</v>
      </c>
    </row>
    <row r="93" spans="1:5" x14ac:dyDescent="0.25">
      <c r="A93" s="40">
        <v>89</v>
      </c>
      <c r="B93" s="38" t="s">
        <v>389</v>
      </c>
      <c r="C93" s="34"/>
      <c r="D93" s="80" t="s">
        <v>27</v>
      </c>
      <c r="E93" t="s">
        <v>729</v>
      </c>
    </row>
    <row r="94" spans="1:5" x14ac:dyDescent="0.25">
      <c r="A94" s="40">
        <v>90</v>
      </c>
      <c r="B94" s="38" t="s">
        <v>390</v>
      </c>
      <c r="C94" s="34"/>
      <c r="D94" s="80" t="s">
        <v>27</v>
      </c>
      <c r="E94" t="s">
        <v>729</v>
      </c>
    </row>
    <row r="95" spans="1:5" x14ac:dyDescent="0.25">
      <c r="A95" s="40">
        <v>91</v>
      </c>
      <c r="B95" s="38" t="s">
        <v>391</v>
      </c>
      <c r="C95" s="34"/>
      <c r="D95" s="80" t="s">
        <v>27</v>
      </c>
      <c r="E95" t="s">
        <v>730</v>
      </c>
    </row>
    <row r="96" spans="1:5" x14ac:dyDescent="0.25">
      <c r="A96" s="40">
        <v>92</v>
      </c>
      <c r="B96" s="38" t="s">
        <v>392</v>
      </c>
      <c r="C96" s="34"/>
      <c r="D96" s="80" t="s">
        <v>27</v>
      </c>
      <c r="E96" t="s">
        <v>730</v>
      </c>
    </row>
    <row r="97" spans="1:5" x14ac:dyDescent="0.25">
      <c r="A97" s="40">
        <v>93</v>
      </c>
      <c r="B97" s="38" t="s">
        <v>393</v>
      </c>
      <c r="C97" s="34"/>
      <c r="D97" s="80" t="s">
        <v>27</v>
      </c>
      <c r="E97" t="s">
        <v>730</v>
      </c>
    </row>
    <row r="98" spans="1:5" x14ac:dyDescent="0.25">
      <c r="A98" s="40">
        <v>94</v>
      </c>
      <c r="B98" s="38" t="s">
        <v>394</v>
      </c>
      <c r="C98" s="34"/>
      <c r="D98" s="80" t="s">
        <v>27</v>
      </c>
      <c r="E98" t="s">
        <v>730</v>
      </c>
    </row>
    <row r="99" spans="1:5" x14ac:dyDescent="0.25">
      <c r="A99" s="40">
        <v>95</v>
      </c>
      <c r="B99" s="37" t="s">
        <v>395</v>
      </c>
      <c r="C99" s="34"/>
      <c r="D99" s="80" t="s">
        <v>27</v>
      </c>
      <c r="E99" t="s">
        <v>730</v>
      </c>
    </row>
    <row r="100" spans="1:5" x14ac:dyDescent="0.25">
      <c r="A100" s="39">
        <v>96</v>
      </c>
      <c r="B100" s="38" t="s">
        <v>396</v>
      </c>
      <c r="C100" s="34"/>
      <c r="D100" s="80" t="s">
        <v>27</v>
      </c>
      <c r="E100" t="s">
        <v>730</v>
      </c>
    </row>
    <row r="101" spans="1:5" x14ac:dyDescent="0.25">
      <c r="A101" s="39">
        <v>97</v>
      </c>
      <c r="B101" s="34" t="s">
        <v>397</v>
      </c>
      <c r="C101" s="34"/>
      <c r="D101" s="80" t="s">
        <v>27</v>
      </c>
      <c r="E101" t="s">
        <v>730</v>
      </c>
    </row>
    <row r="102" spans="1:5" x14ac:dyDescent="0.25">
      <c r="A102" s="39">
        <v>98</v>
      </c>
      <c r="B102" s="34" t="s">
        <v>398</v>
      </c>
      <c r="C102" s="34"/>
      <c r="D102" s="80" t="s">
        <v>27</v>
      </c>
      <c r="E102" t="s">
        <v>730</v>
      </c>
    </row>
    <row r="103" spans="1:5" x14ac:dyDescent="0.25">
      <c r="A103" s="39">
        <v>99</v>
      </c>
      <c r="B103" s="34" t="s">
        <v>399</v>
      </c>
      <c r="C103" s="34"/>
      <c r="D103" s="80" t="s">
        <v>27</v>
      </c>
      <c r="E103" t="s">
        <v>730</v>
      </c>
    </row>
    <row r="104" spans="1:5" x14ac:dyDescent="0.25">
      <c r="A104" s="39">
        <v>100</v>
      </c>
      <c r="B104" s="34" t="s">
        <v>400</v>
      </c>
      <c r="C104" s="34"/>
      <c r="D104" s="80" t="s">
        <v>27</v>
      </c>
      <c r="E104" t="s">
        <v>730</v>
      </c>
    </row>
    <row r="105" spans="1:5" x14ac:dyDescent="0.25">
      <c r="A105" s="39">
        <v>101</v>
      </c>
      <c r="B105" s="34" t="s">
        <v>401</v>
      </c>
      <c r="C105" s="34"/>
      <c r="D105" s="80" t="s">
        <v>27</v>
      </c>
      <c r="E105" t="s">
        <v>730</v>
      </c>
    </row>
    <row r="106" spans="1:5" x14ac:dyDescent="0.25">
      <c r="A106" s="39">
        <v>102</v>
      </c>
      <c r="B106" s="34" t="s">
        <v>402</v>
      </c>
      <c r="C106" s="34"/>
      <c r="D106" s="80" t="s">
        <v>27</v>
      </c>
      <c r="E106" t="s">
        <v>730</v>
      </c>
    </row>
    <row r="107" spans="1:5" x14ac:dyDescent="0.25">
      <c r="A107" s="39">
        <v>103</v>
      </c>
      <c r="B107" s="34" t="s">
        <v>403</v>
      </c>
      <c r="C107" s="34"/>
      <c r="D107" s="80" t="s">
        <v>27</v>
      </c>
      <c r="E107" t="s">
        <v>730</v>
      </c>
    </row>
    <row r="108" spans="1:5" x14ac:dyDescent="0.25">
      <c r="A108" s="39">
        <v>104</v>
      </c>
      <c r="B108" s="34" t="s">
        <v>404</v>
      </c>
      <c r="C108" s="34"/>
      <c r="D108" s="80" t="s">
        <v>27</v>
      </c>
      <c r="E108" t="s">
        <v>730</v>
      </c>
    </row>
    <row r="109" spans="1:5" x14ac:dyDescent="0.25">
      <c r="A109" s="39">
        <v>105</v>
      </c>
      <c r="B109" s="34" t="s">
        <v>405</v>
      </c>
      <c r="C109" s="34"/>
      <c r="D109" s="80" t="s">
        <v>27</v>
      </c>
      <c r="E109" t="s">
        <v>730</v>
      </c>
    </row>
  </sheetData>
  <mergeCells count="2">
    <mergeCell ref="A1:D1"/>
    <mergeCell ref="A3:D3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Plan2!$A$2:$A$5</xm:f>
          </x14:formula1>
          <xm:sqref>D72:D94 D18:D29 D57:D71 D5:D17 D30:D56 D95:D109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M112"/>
  <sheetViews>
    <sheetView zoomScale="96" zoomScaleNormal="96" workbookViewId="0">
      <selection activeCell="E4" sqref="E4"/>
    </sheetView>
  </sheetViews>
  <sheetFormatPr defaultRowHeight="15" x14ac:dyDescent="0.25"/>
  <cols>
    <col min="1" max="1" width="5.7109375" bestFit="1" customWidth="1"/>
    <col min="2" max="2" width="81" bestFit="1" customWidth="1"/>
    <col min="3" max="3" width="29.5703125" customWidth="1"/>
    <col min="4" max="4" width="12.7109375" customWidth="1"/>
  </cols>
  <sheetData>
    <row r="1" spans="1:13" ht="99.75" customHeight="1" x14ac:dyDescent="0.25">
      <c r="A1" s="101" t="s">
        <v>61</v>
      </c>
      <c r="B1" s="102"/>
      <c r="C1" s="102"/>
      <c r="D1" s="102"/>
      <c r="E1" s="32"/>
      <c r="F1" s="32"/>
      <c r="G1" s="32"/>
      <c r="H1" s="32"/>
      <c r="I1" s="32"/>
      <c r="J1" s="32"/>
      <c r="K1" s="32"/>
      <c r="L1" s="32"/>
      <c r="M1" s="32"/>
    </row>
    <row r="3" spans="1:13" ht="15.75" x14ac:dyDescent="0.25">
      <c r="A3" s="100" t="s">
        <v>9</v>
      </c>
      <c r="B3" s="100"/>
      <c r="C3" s="100"/>
      <c r="D3" s="100"/>
    </row>
    <row r="4" spans="1:13" ht="18.75" x14ac:dyDescent="0.3">
      <c r="A4" s="33" t="s">
        <v>59</v>
      </c>
      <c r="B4" s="33" t="s">
        <v>60</v>
      </c>
      <c r="C4" s="35" t="s">
        <v>57</v>
      </c>
      <c r="D4" s="33" t="s">
        <v>25</v>
      </c>
      <c r="E4" s="33" t="s">
        <v>1</v>
      </c>
    </row>
    <row r="5" spans="1:13" x14ac:dyDescent="0.25">
      <c r="A5" s="36">
        <v>1</v>
      </c>
      <c r="B5" s="36" t="s">
        <v>202</v>
      </c>
      <c r="C5" s="34"/>
      <c r="D5" s="80" t="s">
        <v>27</v>
      </c>
      <c r="E5" t="s">
        <v>725</v>
      </c>
    </row>
    <row r="6" spans="1:13" ht="105" x14ac:dyDescent="0.25">
      <c r="A6" s="36">
        <v>2</v>
      </c>
      <c r="B6" s="34" t="s">
        <v>203</v>
      </c>
      <c r="C6" s="71" t="s">
        <v>620</v>
      </c>
      <c r="D6" s="80" t="s">
        <v>27</v>
      </c>
      <c r="E6" t="s">
        <v>725</v>
      </c>
    </row>
    <row r="7" spans="1:13" x14ac:dyDescent="0.25">
      <c r="A7" s="36">
        <v>3</v>
      </c>
      <c r="B7" s="34" t="s">
        <v>204</v>
      </c>
      <c r="C7" s="34"/>
      <c r="D7" s="80" t="s">
        <v>27</v>
      </c>
      <c r="E7" t="s">
        <v>725</v>
      </c>
    </row>
    <row r="8" spans="1:13" ht="45" x14ac:dyDescent="0.25">
      <c r="A8" s="36">
        <v>4</v>
      </c>
      <c r="B8" s="34" t="s">
        <v>205</v>
      </c>
      <c r="C8" s="71" t="s">
        <v>621</v>
      </c>
      <c r="D8" s="80" t="s">
        <v>27</v>
      </c>
      <c r="E8" t="s">
        <v>725</v>
      </c>
    </row>
    <row r="9" spans="1:13" ht="45" x14ac:dyDescent="0.25">
      <c r="A9" s="36">
        <v>5</v>
      </c>
      <c r="B9" s="34" t="s">
        <v>206</v>
      </c>
      <c r="C9" s="71" t="s">
        <v>622</v>
      </c>
      <c r="D9" s="80" t="s">
        <v>27</v>
      </c>
      <c r="E9" t="s">
        <v>725</v>
      </c>
    </row>
    <row r="10" spans="1:13" x14ac:dyDescent="0.25">
      <c r="A10" s="36">
        <v>6</v>
      </c>
      <c r="B10" s="34" t="s">
        <v>207</v>
      </c>
      <c r="C10" s="34" t="s">
        <v>623</v>
      </c>
      <c r="D10" s="80" t="s">
        <v>27</v>
      </c>
      <c r="E10" t="s">
        <v>725</v>
      </c>
    </row>
    <row r="11" spans="1:13" x14ac:dyDescent="0.25">
      <c r="A11" s="36">
        <v>7</v>
      </c>
      <c r="B11" s="34" t="s">
        <v>208</v>
      </c>
      <c r="C11" s="34"/>
      <c r="D11" s="80" t="s">
        <v>27</v>
      </c>
      <c r="E11" t="s">
        <v>725</v>
      </c>
    </row>
    <row r="12" spans="1:13" x14ac:dyDescent="0.25">
      <c r="A12" s="36">
        <v>8</v>
      </c>
      <c r="B12" s="34" t="s">
        <v>209</v>
      </c>
      <c r="C12" s="34"/>
      <c r="D12" s="80" t="s">
        <v>27</v>
      </c>
      <c r="E12" t="s">
        <v>725</v>
      </c>
    </row>
    <row r="13" spans="1:13" x14ac:dyDescent="0.25">
      <c r="A13" s="36">
        <v>9</v>
      </c>
      <c r="B13" s="34" t="s">
        <v>210</v>
      </c>
      <c r="C13" s="34"/>
      <c r="D13" s="80" t="s">
        <v>27</v>
      </c>
      <c r="E13" t="s">
        <v>725</v>
      </c>
    </row>
    <row r="14" spans="1:13" x14ac:dyDescent="0.25">
      <c r="A14" s="36">
        <v>10</v>
      </c>
      <c r="B14" s="34" t="s">
        <v>211</v>
      </c>
      <c r="C14" s="34"/>
      <c r="D14" s="80" t="s">
        <v>27</v>
      </c>
      <c r="E14" t="s">
        <v>725</v>
      </c>
    </row>
    <row r="15" spans="1:13" x14ac:dyDescent="0.25">
      <c r="A15" s="36">
        <v>11</v>
      </c>
      <c r="B15" s="34" t="s">
        <v>212</v>
      </c>
      <c r="C15" s="34"/>
      <c r="D15" s="80" t="s">
        <v>27</v>
      </c>
      <c r="E15" t="s">
        <v>725</v>
      </c>
    </row>
    <row r="16" spans="1:13" ht="30" x14ac:dyDescent="0.25">
      <c r="A16" s="36">
        <v>12</v>
      </c>
      <c r="B16" s="34" t="s">
        <v>213</v>
      </c>
      <c r="C16" s="71" t="s">
        <v>625</v>
      </c>
      <c r="D16" s="80" t="s">
        <v>27</v>
      </c>
      <c r="E16" t="s">
        <v>725</v>
      </c>
    </row>
    <row r="17" spans="1:5" x14ac:dyDescent="0.25">
      <c r="A17" s="36">
        <v>13</v>
      </c>
      <c r="B17" s="34" t="s">
        <v>214</v>
      </c>
      <c r="C17" s="34"/>
      <c r="D17" s="80" t="s">
        <v>27</v>
      </c>
      <c r="E17" t="s">
        <v>725</v>
      </c>
    </row>
    <row r="18" spans="1:5" x14ac:dyDescent="0.25">
      <c r="A18" s="36">
        <v>14</v>
      </c>
      <c r="B18" s="34" t="s">
        <v>215</v>
      </c>
      <c r="C18" s="34"/>
      <c r="D18" s="80" t="s">
        <v>27</v>
      </c>
      <c r="E18" t="s">
        <v>725</v>
      </c>
    </row>
    <row r="19" spans="1:5" x14ac:dyDescent="0.25">
      <c r="A19" s="37">
        <v>15</v>
      </c>
      <c r="B19" s="38" t="s">
        <v>216</v>
      </c>
      <c r="C19" s="34"/>
      <c r="D19" s="80" t="s">
        <v>27</v>
      </c>
      <c r="E19" t="s">
        <v>726</v>
      </c>
    </row>
    <row r="20" spans="1:5" x14ac:dyDescent="0.25">
      <c r="A20" s="37">
        <v>16</v>
      </c>
      <c r="B20" s="38" t="s">
        <v>217</v>
      </c>
      <c r="C20" s="34"/>
      <c r="D20" s="80" t="s">
        <v>27</v>
      </c>
      <c r="E20" t="s">
        <v>726</v>
      </c>
    </row>
    <row r="21" spans="1:5" ht="45" x14ac:dyDescent="0.25">
      <c r="A21" s="37">
        <v>17</v>
      </c>
      <c r="B21" s="38" t="s">
        <v>218</v>
      </c>
      <c r="C21" s="71" t="s">
        <v>624</v>
      </c>
      <c r="D21" s="80" t="s">
        <v>27</v>
      </c>
      <c r="E21" t="s">
        <v>726</v>
      </c>
    </row>
    <row r="22" spans="1:5" ht="30" x14ac:dyDescent="0.25">
      <c r="A22" s="37">
        <v>18</v>
      </c>
      <c r="B22" s="38" t="s">
        <v>219</v>
      </c>
      <c r="C22" s="71" t="s">
        <v>626</v>
      </c>
      <c r="D22" s="80" t="s">
        <v>27</v>
      </c>
      <c r="E22" t="s">
        <v>726</v>
      </c>
    </row>
    <row r="23" spans="1:5" ht="45" x14ac:dyDescent="0.25">
      <c r="A23" s="37">
        <v>19</v>
      </c>
      <c r="B23" s="38" t="s">
        <v>220</v>
      </c>
      <c r="C23" s="71" t="s">
        <v>627</v>
      </c>
      <c r="D23" s="80" t="s">
        <v>27</v>
      </c>
      <c r="E23" t="s">
        <v>726</v>
      </c>
    </row>
    <row r="24" spans="1:5" ht="60" x14ac:dyDescent="0.25">
      <c r="A24" s="37">
        <v>20</v>
      </c>
      <c r="B24" s="38" t="s">
        <v>221</v>
      </c>
      <c r="C24" s="71" t="s">
        <v>628</v>
      </c>
      <c r="D24" s="80" t="s">
        <v>27</v>
      </c>
      <c r="E24" t="s">
        <v>726</v>
      </c>
    </row>
    <row r="25" spans="1:5" ht="30" x14ac:dyDescent="0.25">
      <c r="A25" s="37">
        <v>21</v>
      </c>
      <c r="B25" s="38" t="s">
        <v>222</v>
      </c>
      <c r="C25" s="71" t="s">
        <v>629</v>
      </c>
      <c r="D25" s="80" t="s">
        <v>27</v>
      </c>
      <c r="E25" t="s">
        <v>726</v>
      </c>
    </row>
    <row r="26" spans="1:5" ht="45" x14ac:dyDescent="0.25">
      <c r="A26" s="37">
        <v>22</v>
      </c>
      <c r="B26" s="38" t="s">
        <v>630</v>
      </c>
      <c r="C26" s="71" t="s">
        <v>631</v>
      </c>
      <c r="D26" s="80" t="s">
        <v>27</v>
      </c>
      <c r="E26" t="s">
        <v>726</v>
      </c>
    </row>
    <row r="27" spans="1:5" x14ac:dyDescent="0.25">
      <c r="A27" s="37">
        <v>23</v>
      </c>
      <c r="B27" s="38" t="s">
        <v>223</v>
      </c>
      <c r="C27" s="71"/>
      <c r="D27" s="80" t="s">
        <v>27</v>
      </c>
      <c r="E27" t="s">
        <v>726</v>
      </c>
    </row>
    <row r="28" spans="1:5" x14ac:dyDescent="0.25">
      <c r="A28" s="37">
        <v>24</v>
      </c>
      <c r="B28" s="38" t="s">
        <v>632</v>
      </c>
      <c r="C28" s="34"/>
      <c r="D28" s="80" t="s">
        <v>27</v>
      </c>
      <c r="E28" t="s">
        <v>726</v>
      </c>
    </row>
    <row r="29" spans="1:5" x14ac:dyDescent="0.25">
      <c r="A29" s="36">
        <v>25</v>
      </c>
      <c r="B29" s="34" t="s">
        <v>224</v>
      </c>
      <c r="C29" s="34"/>
      <c r="D29" s="80" t="s">
        <v>27</v>
      </c>
      <c r="E29" t="s">
        <v>727</v>
      </c>
    </row>
    <row r="30" spans="1:5" x14ac:dyDescent="0.25">
      <c r="A30" s="36">
        <v>26</v>
      </c>
      <c r="B30" s="34" t="s">
        <v>225</v>
      </c>
      <c r="C30" s="34"/>
      <c r="D30" s="80" t="s">
        <v>27</v>
      </c>
      <c r="E30" t="s">
        <v>727</v>
      </c>
    </row>
    <row r="31" spans="1:5" ht="30" x14ac:dyDescent="0.25">
      <c r="A31" s="36">
        <v>27</v>
      </c>
      <c r="B31" s="34" t="s">
        <v>226</v>
      </c>
      <c r="C31" s="71" t="s">
        <v>633</v>
      </c>
      <c r="D31" s="80" t="s">
        <v>27</v>
      </c>
      <c r="E31" t="s">
        <v>727</v>
      </c>
    </row>
    <row r="32" spans="1:5" ht="105" x14ac:dyDescent="0.25">
      <c r="A32" s="36">
        <v>28</v>
      </c>
      <c r="B32" s="34" t="s">
        <v>227</v>
      </c>
      <c r="C32" s="71" t="s">
        <v>634</v>
      </c>
      <c r="D32" s="80" t="s">
        <v>27</v>
      </c>
      <c r="E32" t="s">
        <v>727</v>
      </c>
    </row>
    <row r="33" spans="1:5" ht="105" x14ac:dyDescent="0.25">
      <c r="A33" s="36">
        <v>29</v>
      </c>
      <c r="B33" s="34" t="s">
        <v>228</v>
      </c>
      <c r="C33" s="71" t="s">
        <v>634</v>
      </c>
      <c r="D33" s="80" t="s">
        <v>27</v>
      </c>
      <c r="E33" t="s">
        <v>727</v>
      </c>
    </row>
    <row r="34" spans="1:5" ht="150" x14ac:dyDescent="0.25">
      <c r="A34" s="36">
        <v>30</v>
      </c>
      <c r="B34" s="34" t="s">
        <v>229</v>
      </c>
      <c r="C34" s="71" t="s">
        <v>635</v>
      </c>
      <c r="D34" s="80" t="s">
        <v>27</v>
      </c>
      <c r="E34" t="s">
        <v>727</v>
      </c>
    </row>
    <row r="35" spans="1:5" x14ac:dyDescent="0.25">
      <c r="A35" s="36">
        <v>31</v>
      </c>
      <c r="B35" s="34" t="s">
        <v>230</v>
      </c>
      <c r="C35" s="34"/>
      <c r="D35" s="80" t="s">
        <v>27</v>
      </c>
      <c r="E35" t="s">
        <v>727</v>
      </c>
    </row>
    <row r="36" spans="1:5" x14ac:dyDescent="0.25">
      <c r="A36" s="36">
        <v>32</v>
      </c>
      <c r="B36" s="34" t="s">
        <v>231</v>
      </c>
      <c r="C36" s="34"/>
      <c r="D36" s="80" t="s">
        <v>27</v>
      </c>
      <c r="E36" t="s">
        <v>727</v>
      </c>
    </row>
    <row r="37" spans="1:5" ht="60" x14ac:dyDescent="0.25">
      <c r="A37" s="36">
        <v>33</v>
      </c>
      <c r="B37" s="34" t="s">
        <v>232</v>
      </c>
      <c r="C37" s="71" t="s">
        <v>636</v>
      </c>
      <c r="D37" s="80" t="s">
        <v>27</v>
      </c>
      <c r="E37" t="s">
        <v>727</v>
      </c>
    </row>
    <row r="38" spans="1:5" x14ac:dyDescent="0.25">
      <c r="A38" s="36">
        <v>34</v>
      </c>
      <c r="B38" s="34" t="s">
        <v>233</v>
      </c>
      <c r="C38" s="34"/>
      <c r="D38" s="80" t="s">
        <v>27</v>
      </c>
      <c r="E38" t="s">
        <v>727</v>
      </c>
    </row>
    <row r="39" spans="1:5" x14ac:dyDescent="0.25">
      <c r="A39" s="36">
        <v>35</v>
      </c>
      <c r="B39" s="34" t="s">
        <v>234</v>
      </c>
      <c r="C39" s="34"/>
      <c r="D39" s="80" t="s">
        <v>27</v>
      </c>
      <c r="E39" t="s">
        <v>727</v>
      </c>
    </row>
    <row r="40" spans="1:5" ht="30" x14ac:dyDescent="0.25">
      <c r="A40" s="36">
        <v>36</v>
      </c>
      <c r="B40" s="34" t="s">
        <v>235</v>
      </c>
      <c r="C40" s="71" t="s">
        <v>637</v>
      </c>
      <c r="D40" s="80" t="s">
        <v>27</v>
      </c>
      <c r="E40" t="s">
        <v>727</v>
      </c>
    </row>
    <row r="41" spans="1:5" x14ac:dyDescent="0.25">
      <c r="A41" s="36">
        <v>37</v>
      </c>
      <c r="B41" s="34" t="s">
        <v>236</v>
      </c>
      <c r="C41" s="34"/>
      <c r="D41" s="80" t="s">
        <v>27</v>
      </c>
      <c r="E41" t="s">
        <v>727</v>
      </c>
    </row>
    <row r="42" spans="1:5" x14ac:dyDescent="0.25">
      <c r="A42" s="36">
        <v>38</v>
      </c>
      <c r="B42" s="34" t="s">
        <v>237</v>
      </c>
      <c r="C42" s="72" t="s">
        <v>638</v>
      </c>
      <c r="D42" s="80" t="s">
        <v>27</v>
      </c>
      <c r="E42" t="s">
        <v>727</v>
      </c>
    </row>
    <row r="43" spans="1:5" x14ac:dyDescent="0.25">
      <c r="A43" s="36">
        <v>39</v>
      </c>
      <c r="B43" s="34" t="s">
        <v>238</v>
      </c>
      <c r="C43" s="34"/>
      <c r="D43" s="80" t="s">
        <v>27</v>
      </c>
      <c r="E43" t="s">
        <v>727</v>
      </c>
    </row>
    <row r="44" spans="1:5" x14ac:dyDescent="0.25">
      <c r="A44" s="36">
        <v>40</v>
      </c>
      <c r="B44" s="34" t="s">
        <v>639</v>
      </c>
      <c r="C44" s="34"/>
      <c r="D44" s="80" t="s">
        <v>27</v>
      </c>
      <c r="E44" t="s">
        <v>727</v>
      </c>
    </row>
    <row r="45" spans="1:5" x14ac:dyDescent="0.25">
      <c r="A45" s="36">
        <v>41</v>
      </c>
      <c r="B45" s="34" t="s">
        <v>239</v>
      </c>
      <c r="C45" s="72" t="s">
        <v>638</v>
      </c>
      <c r="D45" s="80" t="s">
        <v>27</v>
      </c>
      <c r="E45" t="s">
        <v>728</v>
      </c>
    </row>
    <row r="46" spans="1:5" x14ac:dyDescent="0.25">
      <c r="A46" s="36">
        <v>42</v>
      </c>
      <c r="B46" s="34" t="s">
        <v>240</v>
      </c>
      <c r="C46" s="34"/>
      <c r="D46" s="80" t="s">
        <v>27</v>
      </c>
      <c r="E46" t="s">
        <v>728</v>
      </c>
    </row>
    <row r="47" spans="1:5" x14ac:dyDescent="0.25">
      <c r="A47" s="36">
        <v>43</v>
      </c>
      <c r="B47" s="34" t="s">
        <v>241</v>
      </c>
      <c r="C47" s="34"/>
      <c r="D47" s="80" t="s">
        <v>27</v>
      </c>
      <c r="E47" t="s">
        <v>728</v>
      </c>
    </row>
    <row r="48" spans="1:5" x14ac:dyDescent="0.25">
      <c r="A48" s="36">
        <v>44</v>
      </c>
      <c r="B48" s="34" t="s">
        <v>242</v>
      </c>
      <c r="C48" s="34"/>
      <c r="D48" s="80" t="s">
        <v>27</v>
      </c>
      <c r="E48" t="s">
        <v>728</v>
      </c>
    </row>
    <row r="49" spans="1:5" x14ac:dyDescent="0.25">
      <c r="A49" s="36">
        <v>45</v>
      </c>
      <c r="B49" s="34" t="s">
        <v>243</v>
      </c>
      <c r="C49" s="34"/>
      <c r="D49" s="80" t="s">
        <v>27</v>
      </c>
      <c r="E49" t="s">
        <v>728</v>
      </c>
    </row>
    <row r="50" spans="1:5" ht="120" x14ac:dyDescent="0.25">
      <c r="A50" s="36">
        <v>46</v>
      </c>
      <c r="B50" s="34" t="s">
        <v>640</v>
      </c>
      <c r="C50" s="71" t="s">
        <v>641</v>
      </c>
      <c r="D50" s="80" t="s">
        <v>27</v>
      </c>
      <c r="E50" t="s">
        <v>728</v>
      </c>
    </row>
    <row r="51" spans="1:5" ht="45" x14ac:dyDescent="0.25">
      <c r="A51" s="36">
        <v>47</v>
      </c>
      <c r="B51" s="34" t="s">
        <v>244</v>
      </c>
      <c r="C51" s="71" t="s">
        <v>642</v>
      </c>
      <c r="D51" s="80" t="s">
        <v>27</v>
      </c>
      <c r="E51" t="s">
        <v>728</v>
      </c>
    </row>
    <row r="52" spans="1:5" x14ac:dyDescent="0.25">
      <c r="A52" s="36">
        <v>48</v>
      </c>
      <c r="B52" s="34" t="s">
        <v>245</v>
      </c>
      <c r="C52" s="72" t="s">
        <v>643</v>
      </c>
      <c r="D52" s="80" t="s">
        <v>27</v>
      </c>
      <c r="E52" t="s">
        <v>728</v>
      </c>
    </row>
    <row r="53" spans="1:5" ht="30" x14ac:dyDescent="0.25">
      <c r="A53" s="36">
        <v>49</v>
      </c>
      <c r="B53" s="34" t="s">
        <v>246</v>
      </c>
      <c r="C53" s="71" t="s">
        <v>644</v>
      </c>
      <c r="D53" s="80" t="s">
        <v>27</v>
      </c>
      <c r="E53" t="s">
        <v>728</v>
      </c>
    </row>
    <row r="54" spans="1:5" x14ac:dyDescent="0.25">
      <c r="A54" s="36">
        <v>50</v>
      </c>
      <c r="B54" s="34" t="s">
        <v>645</v>
      </c>
      <c r="C54" s="34"/>
      <c r="D54" s="80" t="s">
        <v>27</v>
      </c>
      <c r="E54" t="s">
        <v>728</v>
      </c>
    </row>
    <row r="55" spans="1:5" ht="30" x14ac:dyDescent="0.25">
      <c r="A55" s="36">
        <v>51</v>
      </c>
      <c r="B55" s="34" t="s">
        <v>247</v>
      </c>
      <c r="C55" s="77" t="s">
        <v>646</v>
      </c>
      <c r="D55" s="80" t="s">
        <v>27</v>
      </c>
      <c r="E55" t="s">
        <v>728</v>
      </c>
    </row>
    <row r="56" spans="1:5" x14ac:dyDescent="0.25">
      <c r="A56" s="36">
        <v>52</v>
      </c>
      <c r="B56" s="34" t="s">
        <v>248</v>
      </c>
      <c r="C56" s="34"/>
      <c r="D56" s="80" t="s">
        <v>27</v>
      </c>
      <c r="E56" t="s">
        <v>728</v>
      </c>
    </row>
    <row r="57" spans="1:5" ht="45" x14ac:dyDescent="0.25">
      <c r="A57" s="36">
        <v>53</v>
      </c>
      <c r="B57" s="34" t="s">
        <v>249</v>
      </c>
      <c r="C57" s="71" t="s">
        <v>647</v>
      </c>
      <c r="D57" s="80" t="s">
        <v>27</v>
      </c>
      <c r="E57" t="s">
        <v>728</v>
      </c>
    </row>
    <row r="58" spans="1:5" x14ac:dyDescent="0.25">
      <c r="A58" s="36">
        <v>54</v>
      </c>
      <c r="B58" s="34" t="s">
        <v>648</v>
      </c>
      <c r="C58" s="34"/>
      <c r="D58" s="80" t="s">
        <v>27</v>
      </c>
      <c r="E58" t="s">
        <v>728</v>
      </c>
    </row>
    <row r="59" spans="1:5" x14ac:dyDescent="0.25">
      <c r="A59" s="36">
        <v>55</v>
      </c>
      <c r="B59" s="34" t="s">
        <v>250</v>
      </c>
      <c r="C59" s="34"/>
      <c r="D59" s="80" t="s">
        <v>27</v>
      </c>
      <c r="E59" t="s">
        <v>728</v>
      </c>
    </row>
    <row r="60" spans="1:5" x14ac:dyDescent="0.25">
      <c r="A60" s="36">
        <v>56</v>
      </c>
      <c r="B60" s="34" t="s">
        <v>251</v>
      </c>
      <c r="C60" s="34"/>
      <c r="D60" s="80" t="s">
        <v>27</v>
      </c>
      <c r="E60" t="s">
        <v>728</v>
      </c>
    </row>
    <row r="61" spans="1:5" x14ac:dyDescent="0.25">
      <c r="A61" s="36">
        <v>57</v>
      </c>
      <c r="B61" s="34" t="s">
        <v>252</v>
      </c>
      <c r="C61" s="72" t="s">
        <v>643</v>
      </c>
      <c r="D61" s="80" t="s">
        <v>27</v>
      </c>
      <c r="E61" t="s">
        <v>728</v>
      </c>
    </row>
    <row r="62" spans="1:5" ht="45" x14ac:dyDescent="0.25">
      <c r="A62" s="36">
        <v>58</v>
      </c>
      <c r="B62" s="34" t="s">
        <v>253</v>
      </c>
      <c r="C62" s="71" t="s">
        <v>649</v>
      </c>
      <c r="D62" s="80" t="s">
        <v>27</v>
      </c>
      <c r="E62" t="s">
        <v>728</v>
      </c>
    </row>
    <row r="63" spans="1:5" x14ac:dyDescent="0.25">
      <c r="A63" s="36">
        <v>59</v>
      </c>
      <c r="B63" s="34" t="s">
        <v>254</v>
      </c>
      <c r="C63" s="34"/>
      <c r="D63" s="80" t="s">
        <v>27</v>
      </c>
      <c r="E63" t="s">
        <v>728</v>
      </c>
    </row>
    <row r="64" spans="1:5" x14ac:dyDescent="0.25">
      <c r="A64" s="36">
        <v>60</v>
      </c>
      <c r="B64" s="34" t="s">
        <v>650</v>
      </c>
      <c r="C64" s="34"/>
      <c r="D64" s="80" t="s">
        <v>27</v>
      </c>
      <c r="E64" t="s">
        <v>728</v>
      </c>
    </row>
    <row r="65" spans="1:5" ht="60" x14ac:dyDescent="0.25">
      <c r="A65" s="36">
        <v>61</v>
      </c>
      <c r="B65" s="34" t="s">
        <v>255</v>
      </c>
      <c r="C65" s="71" t="s">
        <v>651</v>
      </c>
      <c r="D65" s="80" t="s">
        <v>27</v>
      </c>
      <c r="E65" t="s">
        <v>728</v>
      </c>
    </row>
    <row r="66" spans="1:5" ht="45" x14ac:dyDescent="0.25">
      <c r="A66" s="36">
        <v>62</v>
      </c>
      <c r="B66" s="34" t="s">
        <v>256</v>
      </c>
      <c r="C66" s="71" t="s">
        <v>652</v>
      </c>
      <c r="D66" s="80" t="s">
        <v>27</v>
      </c>
      <c r="E66" t="s">
        <v>728</v>
      </c>
    </row>
    <row r="67" spans="1:5" x14ac:dyDescent="0.25">
      <c r="A67" s="36">
        <v>63</v>
      </c>
      <c r="B67" s="34" t="s">
        <v>257</v>
      </c>
      <c r="C67" s="34"/>
      <c r="D67" s="80" t="s">
        <v>27</v>
      </c>
      <c r="E67" t="s">
        <v>728</v>
      </c>
    </row>
    <row r="68" spans="1:5" x14ac:dyDescent="0.25">
      <c r="A68" s="36">
        <v>64</v>
      </c>
      <c r="B68" s="34" t="s">
        <v>258</v>
      </c>
      <c r="C68" s="34"/>
      <c r="D68" s="80" t="s">
        <v>27</v>
      </c>
      <c r="E68" t="s">
        <v>728</v>
      </c>
    </row>
    <row r="69" spans="1:5" x14ac:dyDescent="0.25">
      <c r="A69" s="37">
        <v>65</v>
      </c>
      <c r="B69" s="38" t="s">
        <v>259</v>
      </c>
      <c r="C69" s="34"/>
      <c r="D69" s="80" t="s">
        <v>27</v>
      </c>
      <c r="E69" t="s">
        <v>729</v>
      </c>
    </row>
    <row r="70" spans="1:5" ht="45" x14ac:dyDescent="0.25">
      <c r="A70" s="37">
        <v>66</v>
      </c>
      <c r="B70" s="38" t="s">
        <v>260</v>
      </c>
      <c r="C70" s="71" t="s">
        <v>653</v>
      </c>
      <c r="D70" s="80" t="s">
        <v>27</v>
      </c>
      <c r="E70" t="s">
        <v>729</v>
      </c>
    </row>
    <row r="71" spans="1:5" ht="45" x14ac:dyDescent="0.25">
      <c r="A71" s="37">
        <v>67</v>
      </c>
      <c r="B71" s="38" t="s">
        <v>261</v>
      </c>
      <c r="C71" s="71" t="s">
        <v>654</v>
      </c>
      <c r="D71" s="80" t="s">
        <v>27</v>
      </c>
      <c r="E71" t="s">
        <v>729</v>
      </c>
    </row>
    <row r="72" spans="1:5" ht="60" x14ac:dyDescent="0.25">
      <c r="A72" s="37">
        <v>68</v>
      </c>
      <c r="B72" s="38" t="s">
        <v>262</v>
      </c>
      <c r="C72" s="71" t="s">
        <v>655</v>
      </c>
      <c r="D72" s="80" t="s">
        <v>27</v>
      </c>
      <c r="E72" t="s">
        <v>729</v>
      </c>
    </row>
    <row r="73" spans="1:5" ht="45" x14ac:dyDescent="0.25">
      <c r="A73" s="37">
        <v>69</v>
      </c>
      <c r="B73" s="38" t="s">
        <v>263</v>
      </c>
      <c r="C73" s="71" t="s">
        <v>656</v>
      </c>
      <c r="D73" s="80" t="s">
        <v>27</v>
      </c>
      <c r="E73" t="s">
        <v>729</v>
      </c>
    </row>
    <row r="74" spans="1:5" x14ac:dyDescent="0.25">
      <c r="A74" s="37">
        <v>70</v>
      </c>
      <c r="B74" s="38" t="s">
        <v>264</v>
      </c>
      <c r="C74" s="72" t="s">
        <v>657</v>
      </c>
      <c r="D74" s="80" t="s">
        <v>27</v>
      </c>
      <c r="E74" t="s">
        <v>729</v>
      </c>
    </row>
    <row r="75" spans="1:5" x14ac:dyDescent="0.25">
      <c r="A75" s="37">
        <v>71</v>
      </c>
      <c r="B75" s="38" t="s">
        <v>265</v>
      </c>
      <c r="C75" s="34"/>
      <c r="D75" s="80" t="s">
        <v>27</v>
      </c>
      <c r="E75" t="s">
        <v>729</v>
      </c>
    </row>
    <row r="76" spans="1:5" x14ac:dyDescent="0.25">
      <c r="A76" s="37">
        <v>72</v>
      </c>
      <c r="B76" s="38" t="s">
        <v>266</v>
      </c>
      <c r="C76" s="34"/>
      <c r="D76" s="80" t="s">
        <v>27</v>
      </c>
      <c r="E76" t="s">
        <v>729</v>
      </c>
    </row>
    <row r="77" spans="1:5" x14ac:dyDescent="0.25">
      <c r="A77" s="37">
        <v>73</v>
      </c>
      <c r="B77" s="38" t="s">
        <v>267</v>
      </c>
      <c r="C77" s="34"/>
      <c r="D77" s="80" t="s">
        <v>27</v>
      </c>
      <c r="E77" t="s">
        <v>729</v>
      </c>
    </row>
    <row r="78" spans="1:5" x14ac:dyDescent="0.25">
      <c r="A78" s="37">
        <v>74</v>
      </c>
      <c r="B78" s="38" t="s">
        <v>268</v>
      </c>
      <c r="C78" s="34"/>
      <c r="D78" s="80" t="s">
        <v>27</v>
      </c>
      <c r="E78" t="s">
        <v>729</v>
      </c>
    </row>
    <row r="79" spans="1:5" x14ac:dyDescent="0.25">
      <c r="A79" s="37">
        <v>75</v>
      </c>
      <c r="B79" s="38" t="s">
        <v>269</v>
      </c>
      <c r="C79" s="34"/>
      <c r="D79" s="80" t="s">
        <v>27</v>
      </c>
      <c r="E79" t="s">
        <v>729</v>
      </c>
    </row>
    <row r="80" spans="1:5" ht="75" x14ac:dyDescent="0.25">
      <c r="A80" s="37">
        <v>76</v>
      </c>
      <c r="B80" s="38" t="s">
        <v>270</v>
      </c>
      <c r="C80" s="71" t="s">
        <v>658</v>
      </c>
      <c r="D80" s="80" t="s">
        <v>27</v>
      </c>
      <c r="E80" t="s">
        <v>729</v>
      </c>
    </row>
    <row r="81" spans="1:5" x14ac:dyDescent="0.25">
      <c r="A81" s="37">
        <v>77</v>
      </c>
      <c r="B81" s="38" t="s">
        <v>271</v>
      </c>
      <c r="C81" s="34"/>
      <c r="D81" s="80" t="s">
        <v>27</v>
      </c>
      <c r="E81" t="s">
        <v>729</v>
      </c>
    </row>
    <row r="82" spans="1:5" x14ac:dyDescent="0.25">
      <c r="A82" s="37">
        <v>78</v>
      </c>
      <c r="B82" s="38" t="s">
        <v>272</v>
      </c>
      <c r="C82" s="34"/>
      <c r="D82" s="80" t="s">
        <v>27</v>
      </c>
      <c r="E82" t="s">
        <v>729</v>
      </c>
    </row>
    <row r="83" spans="1:5" x14ac:dyDescent="0.25">
      <c r="A83" s="37">
        <v>79</v>
      </c>
      <c r="B83" s="38" t="s">
        <v>273</v>
      </c>
      <c r="C83" s="34"/>
      <c r="D83" s="80" t="s">
        <v>27</v>
      </c>
      <c r="E83" t="s">
        <v>729</v>
      </c>
    </row>
    <row r="84" spans="1:5" x14ac:dyDescent="0.25">
      <c r="A84" s="37">
        <v>80</v>
      </c>
      <c r="B84" s="38" t="s">
        <v>274</v>
      </c>
      <c r="C84" s="34"/>
      <c r="D84" s="80" t="s">
        <v>27</v>
      </c>
      <c r="E84" t="s">
        <v>729</v>
      </c>
    </row>
    <row r="85" spans="1:5" ht="60" x14ac:dyDescent="0.25">
      <c r="A85" s="37">
        <v>81</v>
      </c>
      <c r="B85" s="38" t="s">
        <v>275</v>
      </c>
      <c r="C85" s="71" t="s">
        <v>659</v>
      </c>
      <c r="D85" s="80" t="s">
        <v>27</v>
      </c>
      <c r="E85" t="s">
        <v>729</v>
      </c>
    </row>
    <row r="86" spans="1:5" x14ac:dyDescent="0.25">
      <c r="A86" s="37">
        <v>82</v>
      </c>
      <c r="B86" s="38" t="s">
        <v>276</v>
      </c>
      <c r="C86" s="34"/>
      <c r="D86" s="80" t="s">
        <v>27</v>
      </c>
      <c r="E86" t="s">
        <v>729</v>
      </c>
    </row>
    <row r="87" spans="1:5" ht="157.9" customHeight="1" x14ac:dyDescent="0.25">
      <c r="A87" s="37">
        <v>83</v>
      </c>
      <c r="B87" s="38" t="s">
        <v>277</v>
      </c>
      <c r="C87" s="71" t="s">
        <v>660</v>
      </c>
      <c r="D87" s="80" t="s">
        <v>27</v>
      </c>
      <c r="E87" t="s">
        <v>729</v>
      </c>
    </row>
    <row r="88" spans="1:5" x14ac:dyDescent="0.25">
      <c r="A88" s="37">
        <v>84</v>
      </c>
      <c r="B88" s="38" t="s">
        <v>278</v>
      </c>
      <c r="C88" s="34"/>
      <c r="D88" s="80" t="s">
        <v>27</v>
      </c>
      <c r="E88" t="s">
        <v>729</v>
      </c>
    </row>
    <row r="89" spans="1:5" x14ac:dyDescent="0.25">
      <c r="A89" s="37">
        <v>85</v>
      </c>
      <c r="B89" s="38" t="s">
        <v>279</v>
      </c>
      <c r="C89" s="34"/>
      <c r="D89" s="80" t="s">
        <v>27</v>
      </c>
      <c r="E89" t="s">
        <v>729</v>
      </c>
    </row>
    <row r="90" spans="1:5" x14ac:dyDescent="0.25">
      <c r="A90" s="37">
        <v>86</v>
      </c>
      <c r="B90" s="38" t="s">
        <v>280</v>
      </c>
      <c r="C90" s="72"/>
      <c r="D90" s="80" t="s">
        <v>27</v>
      </c>
      <c r="E90" t="s">
        <v>729</v>
      </c>
    </row>
    <row r="91" spans="1:5" ht="30" x14ac:dyDescent="0.25">
      <c r="A91" s="37">
        <v>87</v>
      </c>
      <c r="B91" s="38" t="s">
        <v>281</v>
      </c>
      <c r="C91" s="34"/>
      <c r="D91" s="80" t="s">
        <v>27</v>
      </c>
      <c r="E91" t="s">
        <v>730</v>
      </c>
    </row>
    <row r="92" spans="1:5" x14ac:dyDescent="0.25">
      <c r="A92" s="37">
        <v>88</v>
      </c>
      <c r="B92" s="38" t="s">
        <v>282</v>
      </c>
      <c r="C92" s="34"/>
      <c r="D92" s="80" t="s">
        <v>27</v>
      </c>
      <c r="E92" t="s">
        <v>730</v>
      </c>
    </row>
    <row r="93" spans="1:5" x14ac:dyDescent="0.25">
      <c r="A93" s="37">
        <v>89</v>
      </c>
      <c r="B93" s="38" t="s">
        <v>283</v>
      </c>
      <c r="C93" s="34"/>
      <c r="D93" s="80" t="s">
        <v>27</v>
      </c>
      <c r="E93" t="s">
        <v>730</v>
      </c>
    </row>
    <row r="94" spans="1:5" x14ac:dyDescent="0.25">
      <c r="A94" s="37">
        <v>90</v>
      </c>
      <c r="B94" s="38" t="s">
        <v>284</v>
      </c>
      <c r="C94" s="34"/>
      <c r="D94" s="80" t="s">
        <v>27</v>
      </c>
      <c r="E94" t="s">
        <v>730</v>
      </c>
    </row>
    <row r="95" spans="1:5" x14ac:dyDescent="0.25">
      <c r="A95" s="37">
        <v>91</v>
      </c>
      <c r="B95" s="38" t="s">
        <v>285</v>
      </c>
      <c r="C95" s="34"/>
      <c r="D95" s="80" t="s">
        <v>27</v>
      </c>
      <c r="E95" t="s">
        <v>730</v>
      </c>
    </row>
    <row r="96" spans="1:5" x14ac:dyDescent="0.25">
      <c r="A96" s="37">
        <v>92</v>
      </c>
      <c r="B96" s="38" t="s">
        <v>286</v>
      </c>
      <c r="C96" s="34"/>
      <c r="D96" s="80" t="s">
        <v>27</v>
      </c>
      <c r="E96" t="s">
        <v>730</v>
      </c>
    </row>
    <row r="97" spans="1:5" x14ac:dyDescent="0.25">
      <c r="A97" s="37">
        <v>93</v>
      </c>
      <c r="B97" s="37" t="s">
        <v>287</v>
      </c>
      <c r="C97" s="34"/>
      <c r="D97" s="80" t="s">
        <v>27</v>
      </c>
      <c r="E97" t="s">
        <v>730</v>
      </c>
    </row>
    <row r="98" spans="1:5" x14ac:dyDescent="0.25">
      <c r="A98" s="36">
        <v>94</v>
      </c>
      <c r="B98" s="38" t="s">
        <v>288</v>
      </c>
      <c r="C98" s="34"/>
      <c r="D98" s="80" t="s">
        <v>27</v>
      </c>
      <c r="E98" t="s">
        <v>730</v>
      </c>
    </row>
    <row r="99" spans="1:5" x14ac:dyDescent="0.25">
      <c r="A99" s="36">
        <v>95</v>
      </c>
      <c r="B99" s="34" t="s">
        <v>289</v>
      </c>
      <c r="C99" s="34"/>
      <c r="D99" s="80" t="s">
        <v>27</v>
      </c>
      <c r="E99" t="s">
        <v>730</v>
      </c>
    </row>
    <row r="100" spans="1:5" x14ac:dyDescent="0.25">
      <c r="A100" s="36">
        <v>96</v>
      </c>
      <c r="B100" s="34" t="s">
        <v>290</v>
      </c>
      <c r="C100" s="34"/>
      <c r="D100" s="80" t="s">
        <v>27</v>
      </c>
      <c r="E100" t="s">
        <v>730</v>
      </c>
    </row>
    <row r="101" spans="1:5" x14ac:dyDescent="0.25">
      <c r="A101" s="36">
        <v>97</v>
      </c>
      <c r="B101" s="34" t="s">
        <v>291</v>
      </c>
      <c r="C101" s="34"/>
      <c r="D101" s="80" t="s">
        <v>27</v>
      </c>
      <c r="E101" t="s">
        <v>730</v>
      </c>
    </row>
    <row r="102" spans="1:5" x14ac:dyDescent="0.25">
      <c r="A102" s="36">
        <v>98</v>
      </c>
      <c r="B102" s="34" t="s">
        <v>292</v>
      </c>
      <c r="C102" s="34"/>
      <c r="D102" s="80" t="s">
        <v>27</v>
      </c>
      <c r="E102" t="s">
        <v>730</v>
      </c>
    </row>
    <row r="103" spans="1:5" x14ac:dyDescent="0.25">
      <c r="A103" s="36">
        <v>99</v>
      </c>
      <c r="B103" s="34" t="s">
        <v>293</v>
      </c>
      <c r="C103" s="34"/>
      <c r="D103" s="80" t="s">
        <v>27</v>
      </c>
      <c r="E103" t="s">
        <v>730</v>
      </c>
    </row>
    <row r="104" spans="1:5" ht="105" x14ac:dyDescent="0.25">
      <c r="A104" s="36">
        <v>100</v>
      </c>
      <c r="B104" s="34" t="s">
        <v>294</v>
      </c>
      <c r="C104" s="71" t="s">
        <v>661</v>
      </c>
      <c r="D104" s="80" t="s">
        <v>27</v>
      </c>
      <c r="E104" t="s">
        <v>730</v>
      </c>
    </row>
    <row r="105" spans="1:5" x14ac:dyDescent="0.25">
      <c r="A105" s="36">
        <v>101</v>
      </c>
      <c r="B105" s="34" t="s">
        <v>295</v>
      </c>
      <c r="C105" s="34"/>
      <c r="D105" s="80" t="s">
        <v>27</v>
      </c>
      <c r="E105" t="s">
        <v>730</v>
      </c>
    </row>
    <row r="106" spans="1:5" x14ac:dyDescent="0.25">
      <c r="A106" s="36">
        <v>102</v>
      </c>
      <c r="B106" s="34" t="s">
        <v>296</v>
      </c>
      <c r="C106" s="34"/>
      <c r="D106" s="80" t="s">
        <v>27</v>
      </c>
      <c r="E106" t="s">
        <v>730</v>
      </c>
    </row>
    <row r="107" spans="1:5" x14ac:dyDescent="0.25">
      <c r="A107" s="36">
        <v>103</v>
      </c>
      <c r="B107" s="34" t="s">
        <v>297</v>
      </c>
      <c r="C107" s="34"/>
      <c r="D107" s="80" t="s">
        <v>27</v>
      </c>
      <c r="E107" t="s">
        <v>730</v>
      </c>
    </row>
    <row r="108" spans="1:5" x14ac:dyDescent="0.25">
      <c r="A108" s="36">
        <v>104</v>
      </c>
      <c r="B108" s="34" t="s">
        <v>298</v>
      </c>
      <c r="C108" s="34"/>
      <c r="D108" s="80" t="s">
        <v>27</v>
      </c>
      <c r="E108" t="s">
        <v>730</v>
      </c>
    </row>
    <row r="109" spans="1:5" x14ac:dyDescent="0.25">
      <c r="A109" s="36">
        <v>105</v>
      </c>
      <c r="B109" s="34" t="s">
        <v>299</v>
      </c>
      <c r="C109" s="34"/>
      <c r="D109" s="80" t="s">
        <v>27</v>
      </c>
      <c r="E109" t="s">
        <v>730</v>
      </c>
    </row>
    <row r="110" spans="1:5" x14ac:dyDescent="0.25">
      <c r="A110" s="36">
        <v>106</v>
      </c>
      <c r="B110" s="34" t="s">
        <v>300</v>
      </c>
      <c r="C110" s="34"/>
      <c r="D110" s="80" t="s">
        <v>27</v>
      </c>
      <c r="E110" t="s">
        <v>730</v>
      </c>
    </row>
    <row r="111" spans="1:5" x14ac:dyDescent="0.25">
      <c r="A111" s="36">
        <v>107</v>
      </c>
      <c r="B111" s="34" t="s">
        <v>301</v>
      </c>
      <c r="C111" s="34"/>
      <c r="D111" s="80" t="s">
        <v>27</v>
      </c>
      <c r="E111" t="s">
        <v>730</v>
      </c>
    </row>
    <row r="112" spans="1:5" ht="75" x14ac:dyDescent="0.25">
      <c r="A112" s="36">
        <v>108</v>
      </c>
      <c r="B112" s="38" t="s">
        <v>662</v>
      </c>
      <c r="C112" s="71" t="s">
        <v>663</v>
      </c>
      <c r="D112" s="80" t="s">
        <v>27</v>
      </c>
      <c r="E112" t="s">
        <v>730</v>
      </c>
    </row>
  </sheetData>
  <mergeCells count="2">
    <mergeCell ref="A1:D1"/>
    <mergeCell ref="A3:D3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Plan2!$A$2:$A$5</xm:f>
          </x14:formula1>
          <xm:sqref>D5:D112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144"/>
  <sheetViews>
    <sheetView tabSelected="1" zoomScale="112" zoomScaleNormal="112" workbookViewId="0">
      <selection sqref="A1:D1"/>
    </sheetView>
  </sheetViews>
  <sheetFormatPr defaultRowHeight="15" x14ac:dyDescent="0.25"/>
  <cols>
    <col min="1" max="1" width="5.7109375" bestFit="1" customWidth="1"/>
    <col min="2" max="2" width="81" bestFit="1" customWidth="1"/>
    <col min="3" max="3" width="24.42578125" bestFit="1" customWidth="1"/>
    <col min="4" max="4" width="12.7109375" customWidth="1"/>
  </cols>
  <sheetData>
    <row r="1" spans="1:13" ht="99.75" customHeight="1" x14ac:dyDescent="0.25">
      <c r="A1" s="101" t="s">
        <v>61</v>
      </c>
      <c r="B1" s="102"/>
      <c r="C1" s="102"/>
      <c r="D1" s="102"/>
      <c r="E1" s="32"/>
      <c r="F1" s="32"/>
      <c r="G1" s="32"/>
      <c r="H1" s="32"/>
      <c r="I1" s="32"/>
      <c r="J1" s="32"/>
      <c r="K1" s="32"/>
      <c r="L1" s="32"/>
      <c r="M1" s="32"/>
    </row>
    <row r="3" spans="1:13" ht="15.75" x14ac:dyDescent="0.25">
      <c r="A3" s="100" t="s">
        <v>732</v>
      </c>
      <c r="B3" s="100"/>
      <c r="C3" s="100"/>
      <c r="D3" s="100"/>
    </row>
    <row r="4" spans="1:13" ht="18.75" x14ac:dyDescent="0.3">
      <c r="A4" s="33" t="s">
        <v>59</v>
      </c>
      <c r="B4" s="33" t="s">
        <v>60</v>
      </c>
      <c r="C4" s="35" t="s">
        <v>57</v>
      </c>
      <c r="D4" s="33" t="s">
        <v>25</v>
      </c>
      <c r="E4" s="33" t="s">
        <v>1</v>
      </c>
    </row>
    <row r="5" spans="1:13" ht="30" x14ac:dyDescent="0.25">
      <c r="A5" s="39">
        <v>1</v>
      </c>
      <c r="B5" s="37" t="s">
        <v>407</v>
      </c>
      <c r="C5" s="71" t="s">
        <v>665</v>
      </c>
      <c r="D5" s="80" t="s">
        <v>27</v>
      </c>
      <c r="E5" t="s">
        <v>725</v>
      </c>
    </row>
    <row r="6" spans="1:13" ht="75" x14ac:dyDescent="0.25">
      <c r="A6" s="39">
        <v>2</v>
      </c>
      <c r="B6" s="37" t="s">
        <v>408</v>
      </c>
      <c r="C6" s="71" t="s">
        <v>666</v>
      </c>
      <c r="D6" s="80" t="s">
        <v>27</v>
      </c>
      <c r="E6" t="s">
        <v>725</v>
      </c>
    </row>
    <row r="7" spans="1:13" ht="30" x14ac:dyDescent="0.25">
      <c r="A7" s="39">
        <v>3</v>
      </c>
      <c r="B7" s="37" t="s">
        <v>409</v>
      </c>
      <c r="C7" s="71" t="s">
        <v>667</v>
      </c>
      <c r="D7" s="80" t="s">
        <v>27</v>
      </c>
      <c r="E7" t="s">
        <v>725</v>
      </c>
    </row>
    <row r="8" spans="1:13" ht="60" x14ac:dyDescent="0.25">
      <c r="A8" s="39">
        <v>4</v>
      </c>
      <c r="B8" s="37" t="s">
        <v>410</v>
      </c>
      <c r="C8" s="71" t="s">
        <v>668</v>
      </c>
      <c r="D8" s="80" t="s">
        <v>27</v>
      </c>
      <c r="E8" t="s">
        <v>725</v>
      </c>
    </row>
    <row r="9" spans="1:13" x14ac:dyDescent="0.25">
      <c r="A9" s="39">
        <v>5</v>
      </c>
      <c r="B9" s="37" t="s">
        <v>411</v>
      </c>
      <c r="C9" s="34"/>
      <c r="D9" s="80" t="s">
        <v>27</v>
      </c>
      <c r="E9" t="s">
        <v>725</v>
      </c>
    </row>
    <row r="10" spans="1:13" ht="30" x14ac:dyDescent="0.25">
      <c r="A10" s="39">
        <v>6</v>
      </c>
      <c r="B10" s="78" t="s">
        <v>670</v>
      </c>
      <c r="C10" s="34"/>
      <c r="D10" s="80" t="s">
        <v>27</v>
      </c>
      <c r="E10" t="s">
        <v>725</v>
      </c>
    </row>
    <row r="11" spans="1:13" x14ac:dyDescent="0.25">
      <c r="A11" s="39">
        <v>7</v>
      </c>
      <c r="B11" s="78" t="s">
        <v>671</v>
      </c>
      <c r="C11" s="34"/>
      <c r="D11" s="80" t="s">
        <v>27</v>
      </c>
      <c r="E11" t="s">
        <v>725</v>
      </c>
    </row>
    <row r="12" spans="1:13" x14ac:dyDescent="0.25">
      <c r="A12" s="39">
        <v>8</v>
      </c>
      <c r="B12" s="78" t="s">
        <v>669</v>
      </c>
      <c r="C12" s="34"/>
      <c r="D12" s="80" t="s">
        <v>27</v>
      </c>
      <c r="E12" t="s">
        <v>725</v>
      </c>
    </row>
    <row r="13" spans="1:13" ht="30" x14ac:dyDescent="0.25">
      <c r="A13" s="39">
        <v>9</v>
      </c>
      <c r="B13" s="78" t="s">
        <v>672</v>
      </c>
      <c r="C13" s="71" t="s">
        <v>673</v>
      </c>
      <c r="D13" s="80" t="s">
        <v>27</v>
      </c>
      <c r="E13" t="s">
        <v>725</v>
      </c>
    </row>
    <row r="14" spans="1:13" ht="60" x14ac:dyDescent="0.25">
      <c r="A14" s="39">
        <v>10</v>
      </c>
      <c r="B14" s="78" t="s">
        <v>674</v>
      </c>
      <c r="C14" s="71" t="s">
        <v>675</v>
      </c>
      <c r="D14" s="80" t="s">
        <v>27</v>
      </c>
      <c r="E14" t="s">
        <v>725</v>
      </c>
    </row>
    <row r="15" spans="1:13" x14ac:dyDescent="0.25">
      <c r="A15" s="39">
        <v>11</v>
      </c>
      <c r="B15" s="78" t="s">
        <v>676</v>
      </c>
      <c r="C15" s="34"/>
      <c r="D15" s="80" t="s">
        <v>27</v>
      </c>
      <c r="E15" t="s">
        <v>725</v>
      </c>
    </row>
    <row r="16" spans="1:13" ht="60" x14ac:dyDescent="0.25">
      <c r="A16" s="39">
        <v>12</v>
      </c>
      <c r="B16" s="78" t="s">
        <v>677</v>
      </c>
      <c r="C16" s="71" t="s">
        <v>678</v>
      </c>
      <c r="D16" s="80" t="s">
        <v>27</v>
      </c>
      <c r="E16" t="s">
        <v>725</v>
      </c>
    </row>
    <row r="17" spans="1:5" ht="75" x14ac:dyDescent="0.25">
      <c r="A17" s="39">
        <v>13</v>
      </c>
      <c r="B17" s="78" t="s">
        <v>679</v>
      </c>
      <c r="C17" s="71" t="s">
        <v>680</v>
      </c>
      <c r="D17" s="80" t="s">
        <v>27</v>
      </c>
      <c r="E17" t="s">
        <v>725</v>
      </c>
    </row>
    <row r="18" spans="1:5" ht="30" x14ac:dyDescent="0.25">
      <c r="A18" s="39">
        <v>14</v>
      </c>
      <c r="B18" s="78" t="s">
        <v>681</v>
      </c>
      <c r="C18" s="71" t="s">
        <v>682</v>
      </c>
      <c r="D18" s="80" t="s">
        <v>27</v>
      </c>
      <c r="E18" t="s">
        <v>725</v>
      </c>
    </row>
    <row r="19" spans="1:5" x14ac:dyDescent="0.25">
      <c r="A19" s="39">
        <v>15</v>
      </c>
      <c r="B19" s="37" t="s">
        <v>412</v>
      </c>
      <c r="C19" s="71"/>
      <c r="D19" s="80" t="s">
        <v>27</v>
      </c>
      <c r="E19" t="s">
        <v>725</v>
      </c>
    </row>
    <row r="20" spans="1:5" x14ac:dyDescent="0.25">
      <c r="A20" s="39">
        <v>16</v>
      </c>
      <c r="B20" s="78" t="s">
        <v>683</v>
      </c>
      <c r="C20" s="34"/>
      <c r="D20" s="80" t="s">
        <v>27</v>
      </c>
      <c r="E20" t="s">
        <v>725</v>
      </c>
    </row>
    <row r="21" spans="1:5" ht="45" x14ac:dyDescent="0.25">
      <c r="A21" s="39">
        <v>17</v>
      </c>
      <c r="B21" s="37" t="s">
        <v>413</v>
      </c>
      <c r="C21" s="71" t="s">
        <v>684</v>
      </c>
      <c r="D21" s="80" t="s">
        <v>27</v>
      </c>
      <c r="E21" t="s">
        <v>725</v>
      </c>
    </row>
    <row r="22" spans="1:5" x14ac:dyDescent="0.25">
      <c r="A22" s="39">
        <v>18</v>
      </c>
      <c r="B22" s="37" t="s">
        <v>414</v>
      </c>
      <c r="C22" s="34"/>
      <c r="D22" s="80" t="s">
        <v>27</v>
      </c>
      <c r="E22" t="s">
        <v>725</v>
      </c>
    </row>
    <row r="23" spans="1:5" ht="60" x14ac:dyDescent="0.25">
      <c r="A23" s="39">
        <v>19</v>
      </c>
      <c r="B23" s="37" t="s">
        <v>415</v>
      </c>
      <c r="C23" s="71" t="s">
        <v>685</v>
      </c>
      <c r="D23" s="80" t="s">
        <v>27</v>
      </c>
      <c r="E23" t="s">
        <v>725</v>
      </c>
    </row>
    <row r="24" spans="1:5" ht="60" x14ac:dyDescent="0.25">
      <c r="A24" s="39">
        <v>20</v>
      </c>
      <c r="B24" s="78" t="s">
        <v>686</v>
      </c>
      <c r="C24" s="71" t="s">
        <v>685</v>
      </c>
      <c r="D24" s="80" t="s">
        <v>27</v>
      </c>
      <c r="E24" t="s">
        <v>725</v>
      </c>
    </row>
    <row r="25" spans="1:5" ht="30" x14ac:dyDescent="0.25">
      <c r="A25" s="39">
        <v>21</v>
      </c>
      <c r="B25" s="78" t="s">
        <v>687</v>
      </c>
      <c r="C25" s="71" t="s">
        <v>688</v>
      </c>
      <c r="D25" s="80" t="s">
        <v>27</v>
      </c>
      <c r="E25" t="s">
        <v>725</v>
      </c>
    </row>
    <row r="26" spans="1:5" x14ac:dyDescent="0.25">
      <c r="A26" s="39">
        <v>22</v>
      </c>
      <c r="B26" s="78" t="s">
        <v>689</v>
      </c>
      <c r="C26" s="34"/>
      <c r="D26" s="80" t="s">
        <v>27</v>
      </c>
      <c r="E26" t="s">
        <v>725</v>
      </c>
    </row>
    <row r="27" spans="1:5" x14ac:dyDescent="0.25">
      <c r="A27" s="39">
        <v>23</v>
      </c>
      <c r="B27" s="36" t="s">
        <v>416</v>
      </c>
      <c r="C27" s="34"/>
      <c r="D27" s="80" t="s">
        <v>27</v>
      </c>
      <c r="E27" t="s">
        <v>725</v>
      </c>
    </row>
    <row r="28" spans="1:5" x14ac:dyDescent="0.25">
      <c r="A28" s="39">
        <v>24</v>
      </c>
      <c r="B28" s="79" t="s">
        <v>690</v>
      </c>
      <c r="C28" s="34"/>
      <c r="D28" s="80" t="s">
        <v>27</v>
      </c>
      <c r="E28" t="s">
        <v>725</v>
      </c>
    </row>
    <row r="29" spans="1:5" ht="45" x14ac:dyDescent="0.25">
      <c r="A29" s="39">
        <v>25</v>
      </c>
      <c r="B29" s="79" t="s">
        <v>691</v>
      </c>
      <c r="C29" s="71" t="s">
        <v>692</v>
      </c>
      <c r="D29" s="80" t="s">
        <v>27</v>
      </c>
      <c r="E29" t="s">
        <v>725</v>
      </c>
    </row>
    <row r="30" spans="1:5" x14ac:dyDescent="0.25">
      <c r="A30" s="39">
        <v>26</v>
      </c>
      <c r="B30" s="36" t="s">
        <v>417</v>
      </c>
      <c r="C30" s="34"/>
      <c r="D30" s="80" t="s">
        <v>27</v>
      </c>
      <c r="E30" t="s">
        <v>725</v>
      </c>
    </row>
    <row r="31" spans="1:5" ht="30" x14ac:dyDescent="0.25">
      <c r="A31" s="39">
        <v>27</v>
      </c>
      <c r="B31" s="36" t="s">
        <v>418</v>
      </c>
      <c r="C31" s="71" t="s">
        <v>575</v>
      </c>
      <c r="D31" s="80" t="s">
        <v>27</v>
      </c>
      <c r="E31" t="s">
        <v>725</v>
      </c>
    </row>
    <row r="32" spans="1:5" x14ac:dyDescent="0.25">
      <c r="A32" s="39">
        <v>28</v>
      </c>
      <c r="B32" s="36" t="s">
        <v>419</v>
      </c>
      <c r="C32" s="34"/>
      <c r="D32" s="80" t="s">
        <v>27</v>
      </c>
      <c r="E32" t="s">
        <v>725</v>
      </c>
    </row>
    <row r="33" spans="1:5" x14ac:dyDescent="0.25">
      <c r="A33" s="39">
        <v>29</v>
      </c>
      <c r="B33" s="36" t="s">
        <v>420</v>
      </c>
      <c r="C33" s="34"/>
      <c r="D33" s="80" t="s">
        <v>27</v>
      </c>
      <c r="E33" t="s">
        <v>725</v>
      </c>
    </row>
    <row r="34" spans="1:5" ht="45" x14ac:dyDescent="0.25">
      <c r="A34" s="39">
        <v>30</v>
      </c>
      <c r="B34" s="36" t="s">
        <v>421</v>
      </c>
      <c r="C34" s="71" t="s">
        <v>693</v>
      </c>
      <c r="D34" s="80" t="s">
        <v>27</v>
      </c>
      <c r="E34" t="s">
        <v>725</v>
      </c>
    </row>
    <row r="35" spans="1:5" x14ac:dyDescent="0.25">
      <c r="A35" s="39">
        <v>31</v>
      </c>
      <c r="B35" s="36" t="s">
        <v>422</v>
      </c>
      <c r="C35" s="34"/>
      <c r="D35" s="80" t="s">
        <v>27</v>
      </c>
      <c r="E35" t="s">
        <v>725</v>
      </c>
    </row>
    <row r="36" spans="1:5" ht="45" x14ac:dyDescent="0.25">
      <c r="A36" s="39">
        <v>32</v>
      </c>
      <c r="B36" s="36" t="s">
        <v>423</v>
      </c>
      <c r="C36" s="71" t="s">
        <v>694</v>
      </c>
      <c r="D36" s="80" t="s">
        <v>27</v>
      </c>
      <c r="E36" t="s">
        <v>725</v>
      </c>
    </row>
    <row r="37" spans="1:5" x14ac:dyDescent="0.25">
      <c r="A37" s="39">
        <v>33</v>
      </c>
      <c r="B37" s="36" t="s">
        <v>424</v>
      </c>
      <c r="C37" s="34"/>
      <c r="D37" s="80" t="s">
        <v>27</v>
      </c>
      <c r="E37" t="s">
        <v>725</v>
      </c>
    </row>
    <row r="38" spans="1:5" x14ac:dyDescent="0.25">
      <c r="A38" s="39">
        <v>34</v>
      </c>
      <c r="B38" s="79" t="s">
        <v>695</v>
      </c>
      <c r="C38" s="34"/>
      <c r="D38" s="80" t="s">
        <v>27</v>
      </c>
      <c r="E38" t="s">
        <v>725</v>
      </c>
    </row>
    <row r="39" spans="1:5" ht="30" x14ac:dyDescent="0.25">
      <c r="A39" s="39">
        <v>35</v>
      </c>
      <c r="B39" s="36" t="s">
        <v>406</v>
      </c>
      <c r="C39" s="71" t="s">
        <v>696</v>
      </c>
      <c r="D39" s="80" t="s">
        <v>27</v>
      </c>
      <c r="E39" t="s">
        <v>725</v>
      </c>
    </row>
    <row r="40" spans="1:5" x14ac:dyDescent="0.25">
      <c r="A40" s="39">
        <v>36</v>
      </c>
      <c r="B40" s="36" t="s">
        <v>425</v>
      </c>
      <c r="C40" s="34"/>
      <c r="D40" s="80" t="s">
        <v>27</v>
      </c>
      <c r="E40" t="s">
        <v>725</v>
      </c>
    </row>
    <row r="41" spans="1:5" x14ac:dyDescent="0.25">
      <c r="A41" s="39">
        <v>37</v>
      </c>
      <c r="B41" s="36" t="s">
        <v>426</v>
      </c>
      <c r="C41" s="34"/>
      <c r="D41" s="80" t="s">
        <v>27</v>
      </c>
      <c r="E41" t="s">
        <v>725</v>
      </c>
    </row>
    <row r="42" spans="1:5" x14ac:dyDescent="0.25">
      <c r="A42" s="39">
        <v>38</v>
      </c>
      <c r="B42" s="36" t="s">
        <v>427</v>
      </c>
      <c r="C42" s="34"/>
      <c r="D42" s="80" t="s">
        <v>27</v>
      </c>
      <c r="E42" t="s">
        <v>725</v>
      </c>
    </row>
    <row r="43" spans="1:5" ht="45" x14ac:dyDescent="0.25">
      <c r="A43" s="39">
        <v>39</v>
      </c>
      <c r="B43" s="34" t="s">
        <v>697</v>
      </c>
      <c r="C43" s="71" t="s">
        <v>698</v>
      </c>
      <c r="D43" s="80" t="s">
        <v>27</v>
      </c>
      <c r="E43" t="s">
        <v>725</v>
      </c>
    </row>
    <row r="44" spans="1:5" x14ac:dyDescent="0.25">
      <c r="A44" s="39">
        <v>40</v>
      </c>
      <c r="B44" s="34" t="s">
        <v>428</v>
      </c>
      <c r="C44" s="34"/>
      <c r="D44" s="80" t="s">
        <v>27</v>
      </c>
      <c r="E44" t="s">
        <v>725</v>
      </c>
    </row>
    <row r="45" spans="1:5" x14ac:dyDescent="0.25">
      <c r="A45" s="39">
        <v>41</v>
      </c>
      <c r="B45" s="34" t="s">
        <v>429</v>
      </c>
      <c r="C45" s="34"/>
      <c r="D45" s="80" t="s">
        <v>27</v>
      </c>
      <c r="E45" t="s">
        <v>725</v>
      </c>
    </row>
    <row r="46" spans="1:5" x14ac:dyDescent="0.25">
      <c r="A46" s="39">
        <v>42</v>
      </c>
      <c r="B46" s="34" t="s">
        <v>430</v>
      </c>
      <c r="C46" s="34"/>
      <c r="D46" s="80" t="s">
        <v>27</v>
      </c>
      <c r="E46" t="s">
        <v>725</v>
      </c>
    </row>
    <row r="47" spans="1:5" ht="60" x14ac:dyDescent="0.25">
      <c r="A47" s="39">
        <v>43</v>
      </c>
      <c r="B47" s="34" t="s">
        <v>431</v>
      </c>
      <c r="C47" s="71" t="s">
        <v>699</v>
      </c>
      <c r="D47" s="80" t="s">
        <v>27</v>
      </c>
      <c r="E47" t="s">
        <v>725</v>
      </c>
    </row>
    <row r="48" spans="1:5" x14ac:dyDescent="0.25">
      <c r="A48" s="39">
        <v>44</v>
      </c>
      <c r="B48" s="34" t="s">
        <v>432</v>
      </c>
      <c r="C48" s="34"/>
      <c r="D48" s="80" t="s">
        <v>27</v>
      </c>
      <c r="E48" t="s">
        <v>725</v>
      </c>
    </row>
    <row r="49" spans="1:5" ht="30" x14ac:dyDescent="0.25">
      <c r="A49" s="39">
        <v>45</v>
      </c>
      <c r="B49" s="34" t="s">
        <v>433</v>
      </c>
      <c r="C49" s="71" t="s">
        <v>700</v>
      </c>
      <c r="D49" s="80" t="s">
        <v>27</v>
      </c>
      <c r="E49" t="s">
        <v>725</v>
      </c>
    </row>
    <row r="50" spans="1:5" x14ac:dyDescent="0.25">
      <c r="A50" s="40">
        <v>46</v>
      </c>
      <c r="B50" s="38" t="s">
        <v>434</v>
      </c>
      <c r="C50" s="34"/>
      <c r="D50" s="80" t="s">
        <v>27</v>
      </c>
      <c r="E50" t="s">
        <v>726</v>
      </c>
    </row>
    <row r="51" spans="1:5" x14ac:dyDescent="0.25">
      <c r="A51" s="40">
        <v>47</v>
      </c>
      <c r="B51" s="38" t="s">
        <v>701</v>
      </c>
      <c r="C51" s="34"/>
      <c r="D51" s="80" t="s">
        <v>27</v>
      </c>
      <c r="E51" t="s">
        <v>726</v>
      </c>
    </row>
    <row r="52" spans="1:5" x14ac:dyDescent="0.25">
      <c r="A52" s="40">
        <v>48</v>
      </c>
      <c r="B52" s="38" t="s">
        <v>435</v>
      </c>
      <c r="C52" s="34"/>
      <c r="D52" s="80" t="s">
        <v>27</v>
      </c>
      <c r="E52" t="s">
        <v>726</v>
      </c>
    </row>
    <row r="53" spans="1:5" x14ac:dyDescent="0.25">
      <c r="A53" s="40">
        <v>49</v>
      </c>
      <c r="B53" s="38" t="s">
        <v>702</v>
      </c>
      <c r="C53" s="34"/>
      <c r="D53" s="80" t="s">
        <v>27</v>
      </c>
      <c r="E53" t="s">
        <v>726</v>
      </c>
    </row>
    <row r="54" spans="1:5" x14ac:dyDescent="0.25">
      <c r="A54" s="40">
        <v>50</v>
      </c>
      <c r="B54" s="38" t="s">
        <v>436</v>
      </c>
      <c r="C54" s="72" t="s">
        <v>704</v>
      </c>
      <c r="D54" s="80" t="s">
        <v>27</v>
      </c>
      <c r="E54" t="s">
        <v>726</v>
      </c>
    </row>
    <row r="55" spans="1:5" x14ac:dyDescent="0.25">
      <c r="A55" s="40">
        <v>51</v>
      </c>
      <c r="B55" s="38" t="s">
        <v>447</v>
      </c>
      <c r="C55" s="72" t="s">
        <v>704</v>
      </c>
      <c r="D55" s="80" t="s">
        <v>27</v>
      </c>
      <c r="E55" t="s">
        <v>726</v>
      </c>
    </row>
    <row r="56" spans="1:5" x14ac:dyDescent="0.25">
      <c r="A56" s="40">
        <v>52</v>
      </c>
      <c r="B56" s="38" t="s">
        <v>437</v>
      </c>
      <c r="C56" s="72" t="s">
        <v>704</v>
      </c>
      <c r="D56" s="80" t="s">
        <v>27</v>
      </c>
      <c r="E56" t="s">
        <v>726</v>
      </c>
    </row>
    <row r="57" spans="1:5" ht="45" x14ac:dyDescent="0.25">
      <c r="A57" s="40">
        <v>53</v>
      </c>
      <c r="B57" s="38" t="s">
        <v>438</v>
      </c>
      <c r="C57" s="71" t="s">
        <v>705</v>
      </c>
      <c r="D57" s="80" t="s">
        <v>27</v>
      </c>
      <c r="E57" t="s">
        <v>726</v>
      </c>
    </row>
    <row r="58" spans="1:5" x14ac:dyDescent="0.25">
      <c r="A58" s="40">
        <v>54</v>
      </c>
      <c r="B58" s="38" t="s">
        <v>439</v>
      </c>
      <c r="C58" s="34"/>
      <c r="D58" s="80" t="s">
        <v>27</v>
      </c>
      <c r="E58" t="s">
        <v>726</v>
      </c>
    </row>
    <row r="59" spans="1:5" x14ac:dyDescent="0.25">
      <c r="A59" s="40">
        <v>55</v>
      </c>
      <c r="B59" s="38" t="s">
        <v>440</v>
      </c>
      <c r="C59" s="34"/>
      <c r="D59" s="80" t="s">
        <v>27</v>
      </c>
      <c r="E59" t="s">
        <v>726</v>
      </c>
    </row>
    <row r="60" spans="1:5" x14ac:dyDescent="0.25">
      <c r="A60" s="40">
        <v>56</v>
      </c>
      <c r="B60" s="38" t="s">
        <v>441</v>
      </c>
      <c r="C60" s="34"/>
      <c r="D60" s="80" t="s">
        <v>27</v>
      </c>
      <c r="E60" t="s">
        <v>726</v>
      </c>
    </row>
    <row r="61" spans="1:5" x14ac:dyDescent="0.25">
      <c r="A61" s="40">
        <v>57</v>
      </c>
      <c r="B61" s="38" t="s">
        <v>706</v>
      </c>
      <c r="C61" s="34"/>
      <c r="D61" s="80" t="s">
        <v>27</v>
      </c>
      <c r="E61" t="s">
        <v>726</v>
      </c>
    </row>
    <row r="62" spans="1:5" x14ac:dyDescent="0.25">
      <c r="A62" s="40">
        <v>58</v>
      </c>
      <c r="B62" s="38" t="s">
        <v>707</v>
      </c>
      <c r="C62" s="34"/>
      <c r="D62" s="80" t="s">
        <v>27</v>
      </c>
      <c r="E62" t="s">
        <v>726</v>
      </c>
    </row>
    <row r="63" spans="1:5" x14ac:dyDescent="0.25">
      <c r="A63" s="40">
        <v>59</v>
      </c>
      <c r="B63" s="38" t="s">
        <v>442</v>
      </c>
      <c r="C63" s="34"/>
      <c r="D63" s="80" t="s">
        <v>27</v>
      </c>
      <c r="E63" t="s">
        <v>726</v>
      </c>
    </row>
    <row r="64" spans="1:5" x14ac:dyDescent="0.25">
      <c r="A64" s="40">
        <v>60</v>
      </c>
      <c r="B64" s="38" t="s">
        <v>443</v>
      </c>
      <c r="C64" s="34"/>
      <c r="D64" s="80" t="s">
        <v>27</v>
      </c>
      <c r="E64" t="s">
        <v>726</v>
      </c>
    </row>
    <row r="65" spans="1:5" x14ac:dyDescent="0.25">
      <c r="A65" s="40">
        <v>61</v>
      </c>
      <c r="B65" s="38" t="s">
        <v>444</v>
      </c>
      <c r="C65" s="34"/>
      <c r="D65" s="80" t="s">
        <v>27</v>
      </c>
      <c r="E65" t="s">
        <v>726</v>
      </c>
    </row>
    <row r="66" spans="1:5" x14ac:dyDescent="0.25">
      <c r="A66" s="40">
        <v>62</v>
      </c>
      <c r="B66" s="38" t="s">
        <v>445</v>
      </c>
      <c r="C66" s="34"/>
      <c r="D66" s="80" t="s">
        <v>27</v>
      </c>
      <c r="E66" t="s">
        <v>726</v>
      </c>
    </row>
    <row r="67" spans="1:5" x14ac:dyDescent="0.25">
      <c r="A67" s="40">
        <v>63</v>
      </c>
      <c r="B67" s="38" t="s">
        <v>446</v>
      </c>
      <c r="C67" s="34"/>
      <c r="D67" s="80" t="s">
        <v>27</v>
      </c>
      <c r="E67" t="s">
        <v>726</v>
      </c>
    </row>
    <row r="68" spans="1:5" x14ac:dyDescent="0.25">
      <c r="A68" s="39">
        <v>64</v>
      </c>
      <c r="B68" s="34" t="s">
        <v>448</v>
      </c>
      <c r="C68" s="72" t="s">
        <v>703</v>
      </c>
      <c r="D68" s="80" t="s">
        <v>27</v>
      </c>
      <c r="E68" t="s">
        <v>727</v>
      </c>
    </row>
    <row r="69" spans="1:5" x14ac:dyDescent="0.25">
      <c r="A69" s="39">
        <v>65</v>
      </c>
      <c r="B69" s="34" t="s">
        <v>449</v>
      </c>
      <c r="C69" s="34"/>
      <c r="D69" s="80" t="s">
        <v>27</v>
      </c>
      <c r="E69" t="s">
        <v>727</v>
      </c>
    </row>
    <row r="70" spans="1:5" x14ac:dyDescent="0.25">
      <c r="A70" s="39">
        <v>66</v>
      </c>
      <c r="B70" s="34" t="s">
        <v>450</v>
      </c>
      <c r="C70" s="34"/>
      <c r="D70" s="80" t="s">
        <v>27</v>
      </c>
      <c r="E70" t="s">
        <v>727</v>
      </c>
    </row>
    <row r="71" spans="1:5" x14ac:dyDescent="0.25">
      <c r="A71" s="39">
        <v>67</v>
      </c>
      <c r="B71" s="34" t="s">
        <v>451</v>
      </c>
      <c r="C71" s="34"/>
      <c r="D71" s="80" t="s">
        <v>27</v>
      </c>
      <c r="E71" t="s">
        <v>727</v>
      </c>
    </row>
    <row r="72" spans="1:5" x14ac:dyDescent="0.25">
      <c r="A72" s="39">
        <v>68</v>
      </c>
      <c r="B72" s="34" t="s">
        <v>452</v>
      </c>
      <c r="C72" s="34"/>
      <c r="D72" s="80" t="s">
        <v>27</v>
      </c>
      <c r="E72" t="s">
        <v>727</v>
      </c>
    </row>
    <row r="73" spans="1:5" x14ac:dyDescent="0.25">
      <c r="A73" s="39">
        <v>69</v>
      </c>
      <c r="B73" s="34" t="s">
        <v>708</v>
      </c>
      <c r="C73" s="34"/>
      <c r="D73" s="80" t="s">
        <v>27</v>
      </c>
      <c r="E73" t="s">
        <v>727</v>
      </c>
    </row>
    <row r="74" spans="1:5" x14ac:dyDescent="0.25">
      <c r="A74" s="39">
        <v>70</v>
      </c>
      <c r="B74" s="34" t="s">
        <v>453</v>
      </c>
      <c r="C74" s="34"/>
      <c r="D74" s="80" t="s">
        <v>27</v>
      </c>
      <c r="E74" t="s">
        <v>727</v>
      </c>
    </row>
    <row r="75" spans="1:5" x14ac:dyDescent="0.25">
      <c r="A75" s="39">
        <v>71</v>
      </c>
      <c r="B75" s="34" t="s">
        <v>454</v>
      </c>
      <c r="C75" s="34"/>
      <c r="D75" s="80" t="s">
        <v>27</v>
      </c>
      <c r="E75" t="s">
        <v>727</v>
      </c>
    </row>
    <row r="76" spans="1:5" x14ac:dyDescent="0.25">
      <c r="A76" s="39">
        <v>72</v>
      </c>
      <c r="B76" s="34" t="s">
        <v>455</v>
      </c>
      <c r="C76" s="34"/>
      <c r="D76" s="80" t="s">
        <v>27</v>
      </c>
      <c r="E76" t="s">
        <v>727</v>
      </c>
    </row>
    <row r="77" spans="1:5" x14ac:dyDescent="0.25">
      <c r="A77" s="39">
        <v>73</v>
      </c>
      <c r="B77" s="34" t="s">
        <v>456</v>
      </c>
      <c r="C77" s="34"/>
      <c r="D77" s="80" t="s">
        <v>27</v>
      </c>
      <c r="E77" t="s">
        <v>727</v>
      </c>
    </row>
    <row r="78" spans="1:5" x14ac:dyDescent="0.25">
      <c r="A78" s="39">
        <v>74</v>
      </c>
      <c r="B78" s="34" t="s">
        <v>457</v>
      </c>
      <c r="C78" s="34"/>
      <c r="D78" s="80" t="s">
        <v>27</v>
      </c>
      <c r="E78" t="s">
        <v>727</v>
      </c>
    </row>
    <row r="79" spans="1:5" x14ac:dyDescent="0.25">
      <c r="A79" s="39">
        <v>75</v>
      </c>
      <c r="B79" s="34" t="s">
        <v>458</v>
      </c>
      <c r="C79" s="34"/>
      <c r="D79" s="80" t="s">
        <v>27</v>
      </c>
      <c r="E79" t="s">
        <v>727</v>
      </c>
    </row>
    <row r="80" spans="1:5" x14ac:dyDescent="0.25">
      <c r="A80" s="39">
        <v>76</v>
      </c>
      <c r="B80" s="34" t="s">
        <v>459</v>
      </c>
      <c r="C80" s="72" t="s">
        <v>709</v>
      </c>
      <c r="D80" s="80" t="s">
        <v>27</v>
      </c>
      <c r="E80" t="s">
        <v>727</v>
      </c>
    </row>
    <row r="81" spans="1:5" x14ac:dyDescent="0.25">
      <c r="A81" s="39">
        <v>77</v>
      </c>
      <c r="B81" s="34" t="s">
        <v>460</v>
      </c>
      <c r="C81" s="34"/>
      <c r="D81" s="80" t="s">
        <v>27</v>
      </c>
      <c r="E81" t="s">
        <v>727</v>
      </c>
    </row>
    <row r="82" spans="1:5" x14ac:dyDescent="0.25">
      <c r="A82" s="39">
        <v>78</v>
      </c>
      <c r="B82" s="34" t="s">
        <v>461</v>
      </c>
      <c r="C82" s="34"/>
      <c r="D82" s="80" t="s">
        <v>27</v>
      </c>
      <c r="E82" t="s">
        <v>727</v>
      </c>
    </row>
    <row r="83" spans="1:5" x14ac:dyDescent="0.25">
      <c r="A83" s="39">
        <v>79</v>
      </c>
      <c r="B83" s="34" t="s">
        <v>462</v>
      </c>
      <c r="C83" s="34"/>
      <c r="D83" s="80" t="s">
        <v>27</v>
      </c>
      <c r="E83" t="s">
        <v>727</v>
      </c>
    </row>
    <row r="84" spans="1:5" x14ac:dyDescent="0.25">
      <c r="A84" s="39">
        <v>80</v>
      </c>
      <c r="B84" s="34" t="s">
        <v>463</v>
      </c>
      <c r="C84" s="72" t="s">
        <v>710</v>
      </c>
      <c r="D84" s="80" t="s">
        <v>27</v>
      </c>
      <c r="E84" t="s">
        <v>727</v>
      </c>
    </row>
    <row r="85" spans="1:5" x14ac:dyDescent="0.25">
      <c r="A85" s="39">
        <v>81</v>
      </c>
      <c r="B85" s="34" t="s">
        <v>464</v>
      </c>
      <c r="C85" s="72" t="s">
        <v>710</v>
      </c>
      <c r="D85" s="80" t="s">
        <v>27</v>
      </c>
      <c r="E85" t="s">
        <v>728</v>
      </c>
    </row>
    <row r="86" spans="1:5" x14ac:dyDescent="0.25">
      <c r="A86" s="39">
        <v>82</v>
      </c>
      <c r="B86" s="34" t="s">
        <v>465</v>
      </c>
      <c r="C86" s="34"/>
      <c r="D86" s="80" t="s">
        <v>27</v>
      </c>
      <c r="E86" t="s">
        <v>728</v>
      </c>
    </row>
    <row r="87" spans="1:5" x14ac:dyDescent="0.25">
      <c r="A87" s="39">
        <v>83</v>
      </c>
      <c r="B87" s="34" t="s">
        <v>466</v>
      </c>
      <c r="C87" s="34"/>
      <c r="D87" s="80" t="s">
        <v>27</v>
      </c>
      <c r="E87" t="s">
        <v>728</v>
      </c>
    </row>
    <row r="88" spans="1:5" x14ac:dyDescent="0.25">
      <c r="A88" s="39">
        <v>84</v>
      </c>
      <c r="B88" s="34" t="s">
        <v>467</v>
      </c>
      <c r="C88" s="72" t="s">
        <v>711</v>
      </c>
      <c r="D88" s="80" t="s">
        <v>27</v>
      </c>
      <c r="E88" t="s">
        <v>728</v>
      </c>
    </row>
    <row r="89" spans="1:5" x14ac:dyDescent="0.25">
      <c r="A89" s="39">
        <v>85</v>
      </c>
      <c r="B89" s="34" t="s">
        <v>468</v>
      </c>
      <c r="C89" s="34"/>
      <c r="D89" s="80" t="s">
        <v>27</v>
      </c>
      <c r="E89" t="s">
        <v>728</v>
      </c>
    </row>
    <row r="90" spans="1:5" x14ac:dyDescent="0.25">
      <c r="A90" s="39">
        <v>86</v>
      </c>
      <c r="B90" s="34" t="s">
        <v>469</v>
      </c>
      <c r="C90" s="34"/>
      <c r="D90" s="80" t="s">
        <v>27</v>
      </c>
      <c r="E90" t="s">
        <v>728</v>
      </c>
    </row>
    <row r="91" spans="1:5" x14ac:dyDescent="0.25">
      <c r="A91" s="39">
        <v>87</v>
      </c>
      <c r="B91" s="34" t="s">
        <v>712</v>
      </c>
      <c r="C91" s="34"/>
      <c r="D91" s="80" t="s">
        <v>27</v>
      </c>
      <c r="E91" t="s">
        <v>728</v>
      </c>
    </row>
    <row r="92" spans="1:5" x14ac:dyDescent="0.25">
      <c r="A92" s="39">
        <v>88</v>
      </c>
      <c r="B92" s="34" t="s">
        <v>470</v>
      </c>
      <c r="C92" s="34"/>
      <c r="D92" s="80" t="s">
        <v>27</v>
      </c>
      <c r="E92" t="s">
        <v>728</v>
      </c>
    </row>
    <row r="93" spans="1:5" x14ac:dyDescent="0.25">
      <c r="A93" s="39">
        <v>89</v>
      </c>
      <c r="B93" s="34" t="s">
        <v>471</v>
      </c>
      <c r="C93" s="34"/>
      <c r="D93" s="80" t="s">
        <v>27</v>
      </c>
      <c r="E93" t="s">
        <v>728</v>
      </c>
    </row>
    <row r="94" spans="1:5" x14ac:dyDescent="0.25">
      <c r="A94" s="39">
        <v>90</v>
      </c>
      <c r="B94" s="34" t="s">
        <v>472</v>
      </c>
      <c r="C94" s="34"/>
      <c r="D94" s="80" t="s">
        <v>27</v>
      </c>
      <c r="E94" t="s">
        <v>728</v>
      </c>
    </row>
    <row r="95" spans="1:5" x14ac:dyDescent="0.25">
      <c r="A95" s="39">
        <v>91</v>
      </c>
      <c r="B95" s="34" t="s">
        <v>473</v>
      </c>
      <c r="C95" s="34"/>
      <c r="D95" s="80" t="s">
        <v>27</v>
      </c>
      <c r="E95" t="s">
        <v>728</v>
      </c>
    </row>
    <row r="96" spans="1:5" ht="45" x14ac:dyDescent="0.25">
      <c r="A96" s="39">
        <v>92</v>
      </c>
      <c r="B96" s="34" t="s">
        <v>474</v>
      </c>
      <c r="C96" s="71" t="s">
        <v>713</v>
      </c>
      <c r="D96" s="80" t="s">
        <v>27</v>
      </c>
      <c r="E96" t="s">
        <v>728</v>
      </c>
    </row>
    <row r="97" spans="1:5" ht="60" x14ac:dyDescent="0.25">
      <c r="A97" s="39">
        <v>93</v>
      </c>
      <c r="B97" s="34" t="s">
        <v>714</v>
      </c>
      <c r="C97" s="71" t="s">
        <v>715</v>
      </c>
      <c r="D97" s="80" t="s">
        <v>27</v>
      </c>
      <c r="E97" t="s">
        <v>728</v>
      </c>
    </row>
    <row r="98" spans="1:5" x14ac:dyDescent="0.25">
      <c r="A98" s="39">
        <v>94</v>
      </c>
      <c r="B98" s="34" t="s">
        <v>475</v>
      </c>
      <c r="C98" s="34"/>
      <c r="D98" s="80" t="s">
        <v>27</v>
      </c>
      <c r="E98" t="s">
        <v>728</v>
      </c>
    </row>
    <row r="99" spans="1:5" x14ac:dyDescent="0.25">
      <c r="A99" s="39">
        <v>95</v>
      </c>
      <c r="B99" s="34" t="s">
        <v>476</v>
      </c>
      <c r="C99" s="34"/>
      <c r="D99" s="80" t="s">
        <v>27</v>
      </c>
      <c r="E99" t="s">
        <v>728</v>
      </c>
    </row>
    <row r="100" spans="1:5" x14ac:dyDescent="0.25">
      <c r="A100" s="40">
        <v>96</v>
      </c>
      <c r="B100" s="38" t="s">
        <v>477</v>
      </c>
      <c r="C100" s="34"/>
      <c r="D100" s="80" t="s">
        <v>27</v>
      </c>
      <c r="E100" t="s">
        <v>729</v>
      </c>
    </row>
    <row r="101" spans="1:5" x14ac:dyDescent="0.25">
      <c r="A101" s="40">
        <v>97</v>
      </c>
      <c r="B101" s="38" t="s">
        <v>478</v>
      </c>
      <c r="C101" s="34"/>
      <c r="D101" s="80" t="s">
        <v>27</v>
      </c>
      <c r="E101" t="s">
        <v>729</v>
      </c>
    </row>
    <row r="102" spans="1:5" x14ac:dyDescent="0.25">
      <c r="A102" s="40">
        <v>98</v>
      </c>
      <c r="B102" s="38" t="s">
        <v>479</v>
      </c>
      <c r="C102" s="34"/>
      <c r="D102" s="80" t="s">
        <v>27</v>
      </c>
      <c r="E102" t="s">
        <v>729</v>
      </c>
    </row>
    <row r="103" spans="1:5" x14ac:dyDescent="0.25">
      <c r="A103" s="40">
        <v>99</v>
      </c>
      <c r="B103" s="38" t="s">
        <v>480</v>
      </c>
      <c r="C103" s="34"/>
      <c r="D103" s="80" t="s">
        <v>27</v>
      </c>
      <c r="E103" t="s">
        <v>729</v>
      </c>
    </row>
    <row r="104" spans="1:5" x14ac:dyDescent="0.25">
      <c r="A104" s="40">
        <v>100</v>
      </c>
      <c r="B104" s="38" t="s">
        <v>481</v>
      </c>
      <c r="C104" s="34"/>
      <c r="D104" s="80" t="s">
        <v>27</v>
      </c>
      <c r="E104" t="s">
        <v>729</v>
      </c>
    </row>
    <row r="105" spans="1:5" x14ac:dyDescent="0.25">
      <c r="A105" s="40">
        <v>101</v>
      </c>
      <c r="B105" s="38" t="s">
        <v>482</v>
      </c>
      <c r="C105" s="34"/>
      <c r="D105" s="80" t="s">
        <v>27</v>
      </c>
      <c r="E105" t="s">
        <v>729</v>
      </c>
    </row>
    <row r="106" spans="1:5" x14ac:dyDescent="0.25">
      <c r="A106" s="40">
        <v>102</v>
      </c>
      <c r="B106" s="38" t="s">
        <v>483</v>
      </c>
      <c r="C106" s="34"/>
      <c r="D106" s="80" t="s">
        <v>27</v>
      </c>
      <c r="E106" t="s">
        <v>729</v>
      </c>
    </row>
    <row r="107" spans="1:5" x14ac:dyDescent="0.25">
      <c r="A107" s="40">
        <v>103</v>
      </c>
      <c r="B107" s="38" t="s">
        <v>484</v>
      </c>
      <c r="C107" s="34"/>
      <c r="D107" s="80" t="s">
        <v>27</v>
      </c>
      <c r="E107" t="s">
        <v>729</v>
      </c>
    </row>
    <row r="108" spans="1:5" x14ac:dyDescent="0.25">
      <c r="A108" s="40">
        <v>104</v>
      </c>
      <c r="B108" s="38" t="s">
        <v>485</v>
      </c>
      <c r="C108" s="34"/>
      <c r="D108" s="80" t="s">
        <v>27</v>
      </c>
      <c r="E108" t="s">
        <v>729</v>
      </c>
    </row>
    <row r="109" spans="1:5" x14ac:dyDescent="0.25">
      <c r="A109" s="40">
        <v>105</v>
      </c>
      <c r="B109" s="38" t="s">
        <v>486</v>
      </c>
      <c r="C109" s="34"/>
      <c r="D109" s="80" t="s">
        <v>27</v>
      </c>
      <c r="E109" t="s">
        <v>729</v>
      </c>
    </row>
    <row r="110" spans="1:5" x14ac:dyDescent="0.25">
      <c r="A110" s="40">
        <v>106</v>
      </c>
      <c r="B110" s="38" t="s">
        <v>487</v>
      </c>
      <c r="C110" s="34"/>
      <c r="D110" s="80" t="s">
        <v>27</v>
      </c>
      <c r="E110" t="s">
        <v>729</v>
      </c>
    </row>
    <row r="111" spans="1:5" x14ac:dyDescent="0.25">
      <c r="A111" s="40">
        <v>107</v>
      </c>
      <c r="B111" s="38" t="s">
        <v>488</v>
      </c>
      <c r="C111" s="34"/>
      <c r="D111" s="80" t="s">
        <v>27</v>
      </c>
      <c r="E111" t="s">
        <v>729</v>
      </c>
    </row>
    <row r="112" spans="1:5" x14ac:dyDescent="0.25">
      <c r="A112" s="40">
        <v>108</v>
      </c>
      <c r="B112" s="38" t="s">
        <v>489</v>
      </c>
      <c r="C112" s="34"/>
      <c r="D112" s="80" t="s">
        <v>27</v>
      </c>
      <c r="E112" t="s">
        <v>729</v>
      </c>
    </row>
    <row r="113" spans="1:5" x14ac:dyDescent="0.25">
      <c r="A113" s="40">
        <v>109</v>
      </c>
      <c r="B113" s="38" t="s">
        <v>490</v>
      </c>
      <c r="C113" s="34"/>
      <c r="D113" s="80" t="s">
        <v>27</v>
      </c>
      <c r="E113" t="s">
        <v>729</v>
      </c>
    </row>
    <row r="114" spans="1:5" x14ac:dyDescent="0.25">
      <c r="A114" s="40">
        <v>110</v>
      </c>
      <c r="B114" s="38" t="s">
        <v>491</v>
      </c>
      <c r="C114" s="34"/>
      <c r="D114" s="80" t="s">
        <v>27</v>
      </c>
      <c r="E114" t="s">
        <v>729</v>
      </c>
    </row>
    <row r="115" spans="1:5" x14ac:dyDescent="0.25">
      <c r="A115" s="40">
        <v>111</v>
      </c>
      <c r="B115" s="38" t="s">
        <v>492</v>
      </c>
      <c r="C115" s="34"/>
      <c r="D115" s="80" t="s">
        <v>27</v>
      </c>
      <c r="E115" t="s">
        <v>729</v>
      </c>
    </row>
    <row r="116" spans="1:5" x14ac:dyDescent="0.25">
      <c r="A116" s="40">
        <v>112</v>
      </c>
      <c r="B116" s="38" t="s">
        <v>493</v>
      </c>
      <c r="C116" s="34"/>
      <c r="D116" s="80" t="s">
        <v>27</v>
      </c>
      <c r="E116" t="s">
        <v>730</v>
      </c>
    </row>
    <row r="117" spans="1:5" x14ac:dyDescent="0.25">
      <c r="A117" s="40">
        <v>113</v>
      </c>
      <c r="B117" s="38" t="s">
        <v>494</v>
      </c>
      <c r="C117" s="34"/>
      <c r="D117" s="80" t="s">
        <v>27</v>
      </c>
      <c r="E117" t="s">
        <v>730</v>
      </c>
    </row>
    <row r="118" spans="1:5" x14ac:dyDescent="0.25">
      <c r="A118" s="40">
        <v>114</v>
      </c>
      <c r="B118" s="38" t="s">
        <v>495</v>
      </c>
      <c r="C118" s="72" t="s">
        <v>716</v>
      </c>
      <c r="D118" s="80" t="s">
        <v>27</v>
      </c>
      <c r="E118" t="s">
        <v>730</v>
      </c>
    </row>
    <row r="119" spans="1:5" x14ac:dyDescent="0.25">
      <c r="A119" s="40">
        <v>115</v>
      </c>
      <c r="B119" s="38" t="s">
        <v>496</v>
      </c>
      <c r="C119" s="34"/>
      <c r="D119" s="80" t="s">
        <v>27</v>
      </c>
      <c r="E119" t="s">
        <v>730</v>
      </c>
    </row>
    <row r="120" spans="1:5" x14ac:dyDescent="0.25">
      <c r="A120" s="40">
        <v>116</v>
      </c>
      <c r="B120" s="37" t="s">
        <v>497</v>
      </c>
      <c r="C120" s="34"/>
      <c r="D120" s="80" t="s">
        <v>27</v>
      </c>
      <c r="E120" t="s">
        <v>730</v>
      </c>
    </row>
    <row r="121" spans="1:5" x14ac:dyDescent="0.25">
      <c r="A121" s="39">
        <v>117</v>
      </c>
      <c r="B121" s="38" t="s">
        <v>498</v>
      </c>
      <c r="C121" s="34"/>
      <c r="D121" s="80" t="s">
        <v>27</v>
      </c>
      <c r="E121" t="s">
        <v>730</v>
      </c>
    </row>
    <row r="122" spans="1:5" x14ac:dyDescent="0.25">
      <c r="A122" s="39">
        <v>118</v>
      </c>
      <c r="B122" s="34" t="s">
        <v>499</v>
      </c>
      <c r="C122" s="34"/>
      <c r="D122" s="80" t="s">
        <v>27</v>
      </c>
      <c r="E122" t="s">
        <v>730</v>
      </c>
    </row>
    <row r="123" spans="1:5" x14ac:dyDescent="0.25">
      <c r="A123" s="39">
        <v>119</v>
      </c>
      <c r="B123" s="34" t="s">
        <v>500</v>
      </c>
      <c r="C123" s="34"/>
      <c r="D123" s="80" t="s">
        <v>27</v>
      </c>
      <c r="E123" t="s">
        <v>730</v>
      </c>
    </row>
    <row r="124" spans="1:5" ht="45" x14ac:dyDescent="0.25">
      <c r="A124" s="39">
        <v>120</v>
      </c>
      <c r="B124" s="34" t="s">
        <v>501</v>
      </c>
      <c r="C124" s="71" t="s">
        <v>717</v>
      </c>
      <c r="D124" s="80" t="s">
        <v>27</v>
      </c>
      <c r="E124" t="s">
        <v>730</v>
      </c>
    </row>
    <row r="125" spans="1:5" x14ac:dyDescent="0.25">
      <c r="A125" s="39">
        <v>121</v>
      </c>
      <c r="B125" s="34" t="s">
        <v>502</v>
      </c>
      <c r="C125" s="34"/>
      <c r="D125" s="80" t="s">
        <v>27</v>
      </c>
      <c r="E125" t="s">
        <v>730</v>
      </c>
    </row>
    <row r="126" spans="1:5" x14ac:dyDescent="0.25">
      <c r="A126" s="39">
        <v>122</v>
      </c>
      <c r="B126" s="34" t="s">
        <v>503</v>
      </c>
      <c r="C126" s="34"/>
      <c r="D126" s="80" t="s">
        <v>27</v>
      </c>
      <c r="E126" t="s">
        <v>730</v>
      </c>
    </row>
    <row r="127" spans="1:5" x14ac:dyDescent="0.25">
      <c r="A127" s="39">
        <v>123</v>
      </c>
      <c r="B127" s="34" t="s">
        <v>504</v>
      </c>
      <c r="C127" s="34"/>
      <c r="D127" s="80" t="s">
        <v>27</v>
      </c>
      <c r="E127" t="s">
        <v>730</v>
      </c>
    </row>
    <row r="128" spans="1:5" x14ac:dyDescent="0.25">
      <c r="A128" s="39">
        <v>124</v>
      </c>
      <c r="B128" s="34" t="s">
        <v>505</v>
      </c>
      <c r="C128" s="34"/>
      <c r="D128" s="80" t="s">
        <v>27</v>
      </c>
      <c r="E128" t="s">
        <v>730</v>
      </c>
    </row>
    <row r="129" spans="1:5" x14ac:dyDescent="0.25">
      <c r="A129" s="39">
        <v>125</v>
      </c>
      <c r="B129" s="34" t="s">
        <v>506</v>
      </c>
      <c r="C129" s="34"/>
      <c r="D129" s="80" t="s">
        <v>27</v>
      </c>
      <c r="E129" t="s">
        <v>730</v>
      </c>
    </row>
    <row r="130" spans="1:5" x14ac:dyDescent="0.25">
      <c r="A130" s="39">
        <v>126</v>
      </c>
      <c r="B130" s="34" t="s">
        <v>507</v>
      </c>
      <c r="C130" s="34"/>
      <c r="D130" s="80" t="s">
        <v>27</v>
      </c>
      <c r="E130" t="s">
        <v>730</v>
      </c>
    </row>
    <row r="131" spans="1:5" x14ac:dyDescent="0.25">
      <c r="A131" s="39">
        <v>127</v>
      </c>
      <c r="B131" s="34" t="s">
        <v>718</v>
      </c>
      <c r="C131" s="34"/>
      <c r="D131" s="80" t="s">
        <v>27</v>
      </c>
      <c r="E131" t="s">
        <v>730</v>
      </c>
    </row>
    <row r="132" spans="1:5" x14ac:dyDescent="0.25">
      <c r="A132" s="39">
        <v>128</v>
      </c>
      <c r="B132" s="34" t="s">
        <v>508</v>
      </c>
      <c r="C132" s="34"/>
      <c r="D132" s="80" t="s">
        <v>27</v>
      </c>
      <c r="E132" t="s">
        <v>730</v>
      </c>
    </row>
    <row r="133" spans="1:5" x14ac:dyDescent="0.25">
      <c r="A133" s="39">
        <v>129</v>
      </c>
      <c r="B133" s="34" t="s">
        <v>509</v>
      </c>
      <c r="C133" s="34"/>
      <c r="D133" s="80" t="s">
        <v>27</v>
      </c>
      <c r="E133" t="s">
        <v>730</v>
      </c>
    </row>
    <row r="134" spans="1:5" x14ac:dyDescent="0.25">
      <c r="A134" s="39">
        <v>130</v>
      </c>
      <c r="B134" s="34" t="s">
        <v>510</v>
      </c>
      <c r="C134" s="34"/>
      <c r="D134" s="80" t="s">
        <v>27</v>
      </c>
      <c r="E134" t="s">
        <v>730</v>
      </c>
    </row>
    <row r="135" spans="1:5" x14ac:dyDescent="0.25">
      <c r="A135" s="39">
        <v>131</v>
      </c>
      <c r="B135" s="38" t="s">
        <v>511</v>
      </c>
      <c r="C135" s="34"/>
      <c r="D135" s="80" t="s">
        <v>27</v>
      </c>
      <c r="E135" t="s">
        <v>730</v>
      </c>
    </row>
    <row r="136" spans="1:5" x14ac:dyDescent="0.25">
      <c r="A136" s="34">
        <v>132</v>
      </c>
      <c r="B136" s="34" t="s">
        <v>512</v>
      </c>
      <c r="C136" s="34"/>
      <c r="D136" s="80" t="s">
        <v>27</v>
      </c>
      <c r="E136" t="s">
        <v>730</v>
      </c>
    </row>
    <row r="137" spans="1:5" x14ac:dyDescent="0.25">
      <c r="A137" s="34">
        <v>133</v>
      </c>
      <c r="B137" s="34" t="s">
        <v>513</v>
      </c>
      <c r="C137" s="34"/>
      <c r="D137" s="80" t="s">
        <v>27</v>
      </c>
      <c r="E137" t="s">
        <v>730</v>
      </c>
    </row>
    <row r="138" spans="1:5" x14ac:dyDescent="0.25">
      <c r="A138" s="34">
        <v>134</v>
      </c>
      <c r="B138" s="34" t="s">
        <v>514</v>
      </c>
      <c r="C138" s="34"/>
      <c r="D138" s="80" t="s">
        <v>27</v>
      </c>
      <c r="E138" t="s">
        <v>730</v>
      </c>
    </row>
    <row r="139" spans="1:5" x14ac:dyDescent="0.25">
      <c r="A139" s="34">
        <v>135</v>
      </c>
      <c r="B139" s="34" t="s">
        <v>515</v>
      </c>
      <c r="C139" s="34"/>
      <c r="D139" s="80" t="s">
        <v>27</v>
      </c>
      <c r="E139" t="s">
        <v>730</v>
      </c>
    </row>
    <row r="140" spans="1:5" x14ac:dyDescent="0.25">
      <c r="A140" s="34">
        <v>136</v>
      </c>
      <c r="B140" s="34" t="s">
        <v>516</v>
      </c>
      <c r="C140" s="34"/>
      <c r="D140" s="80" t="s">
        <v>27</v>
      </c>
      <c r="E140" t="s">
        <v>730</v>
      </c>
    </row>
    <row r="141" spans="1:5" x14ac:dyDescent="0.25">
      <c r="A141" s="34">
        <v>137</v>
      </c>
      <c r="B141" s="34" t="s">
        <v>517</v>
      </c>
      <c r="C141" s="72" t="s">
        <v>719</v>
      </c>
      <c r="D141" s="80" t="s">
        <v>27</v>
      </c>
      <c r="E141" t="s">
        <v>730</v>
      </c>
    </row>
    <row r="142" spans="1:5" x14ac:dyDescent="0.25">
      <c r="A142" s="34">
        <v>138</v>
      </c>
      <c r="B142" s="34" t="s">
        <v>720</v>
      </c>
      <c r="C142" s="34"/>
      <c r="D142" s="80" t="s">
        <v>27</v>
      </c>
      <c r="E142" t="s">
        <v>730</v>
      </c>
    </row>
    <row r="143" spans="1:5" x14ac:dyDescent="0.25">
      <c r="A143" s="34">
        <v>139</v>
      </c>
      <c r="B143" s="34" t="s">
        <v>721</v>
      </c>
      <c r="C143" s="34"/>
      <c r="D143" s="80" t="s">
        <v>27</v>
      </c>
      <c r="E143" t="s">
        <v>730</v>
      </c>
    </row>
    <row r="144" spans="1:5" x14ac:dyDescent="0.25">
      <c r="A144" s="34">
        <v>140</v>
      </c>
      <c r="B144" s="34" t="s">
        <v>722</v>
      </c>
      <c r="C144" s="34"/>
      <c r="D144" s="80" t="s">
        <v>27</v>
      </c>
      <c r="E144" t="s">
        <v>730</v>
      </c>
    </row>
  </sheetData>
  <mergeCells count="2">
    <mergeCell ref="A1:D1"/>
    <mergeCell ref="A3:D3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Plan2!$A$2:$A$5</xm:f>
          </x14:formula1>
          <xm:sqref>D100:D115 D5:D49 D50:D67 D85:D99 D68:D84 D116:D144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N976"/>
  <sheetViews>
    <sheetView topLeftCell="A15" zoomScaleNormal="100" workbookViewId="0">
      <selection activeCell="G29" sqref="G29"/>
    </sheetView>
  </sheetViews>
  <sheetFormatPr defaultColWidth="14.42578125" defaultRowHeight="15" customHeight="1" x14ac:dyDescent="0.25"/>
  <cols>
    <col min="1" max="8" width="12.7109375" customWidth="1"/>
    <col min="9" max="9" width="10.28515625" bestFit="1" customWidth="1"/>
    <col min="10" max="14" width="12.140625" customWidth="1"/>
    <col min="15" max="17" width="8.7109375" customWidth="1"/>
  </cols>
  <sheetData>
    <row r="1" spans="1:14" s="12" customFormat="1" ht="38.25" hidden="1" customHeight="1" x14ac:dyDescent="0.25">
      <c r="A1" s="103" t="s">
        <v>13</v>
      </c>
      <c r="B1" s="104"/>
      <c r="C1" s="104"/>
      <c r="D1" s="104"/>
      <c r="E1" s="104"/>
      <c r="F1" s="104"/>
      <c r="G1" s="104"/>
      <c r="H1" s="104"/>
    </row>
    <row r="2" spans="1:14" ht="14.25" hidden="1" customHeight="1" x14ac:dyDescent="0.25">
      <c r="A2" s="42">
        <f ca="1">TODAY()</f>
        <v>46283</v>
      </c>
      <c r="C2" s="42"/>
    </row>
    <row r="3" spans="1:14" ht="14.25" hidden="1" customHeight="1" x14ac:dyDescent="0.25">
      <c r="A3" s="1" t="s">
        <v>520</v>
      </c>
    </row>
    <row r="4" spans="1:14" ht="14.25" hidden="1" customHeight="1" x14ac:dyDescent="0.25">
      <c r="A4" s="110" t="s">
        <v>0</v>
      </c>
      <c r="B4" s="110"/>
      <c r="C4" s="110"/>
      <c r="D4" s="110"/>
      <c r="E4" s="110"/>
      <c r="F4" s="110"/>
      <c r="G4" s="110"/>
      <c r="H4" s="41"/>
    </row>
    <row r="5" spans="1:14" ht="14.25" hidden="1" customHeight="1" x14ac:dyDescent="0.25">
      <c r="A5" s="43"/>
      <c r="B5" s="43">
        <v>12</v>
      </c>
      <c r="C5" s="43">
        <v>24</v>
      </c>
      <c r="D5" s="43">
        <v>36</v>
      </c>
      <c r="E5" s="43">
        <v>48</v>
      </c>
      <c r="F5" s="43">
        <v>60</v>
      </c>
      <c r="G5" s="43">
        <v>72</v>
      </c>
      <c r="H5" s="41"/>
    </row>
    <row r="6" spans="1:14" ht="14.25" hidden="1" customHeight="1" x14ac:dyDescent="0.25">
      <c r="A6" s="8" t="s">
        <v>1</v>
      </c>
      <c r="B6" s="8" t="s">
        <v>2</v>
      </c>
      <c r="C6" s="9" t="s">
        <v>15</v>
      </c>
      <c r="D6" s="9" t="s">
        <v>16</v>
      </c>
      <c r="E6" s="9" t="s">
        <v>17</v>
      </c>
      <c r="F6" s="9" t="s">
        <v>19</v>
      </c>
      <c r="G6" s="9" t="s">
        <v>18</v>
      </c>
      <c r="H6" s="111" t="s">
        <v>518</v>
      </c>
    </row>
    <row r="7" spans="1:14" ht="14.25" hidden="1" customHeight="1" x14ac:dyDescent="0.25">
      <c r="A7" s="8" t="s">
        <v>3</v>
      </c>
      <c r="B7" s="8" t="s">
        <v>4</v>
      </c>
      <c r="C7" s="8" t="s">
        <v>4</v>
      </c>
      <c r="D7" s="8" t="s">
        <v>4</v>
      </c>
      <c r="E7" s="8" t="s">
        <v>4</v>
      </c>
      <c r="F7" s="8" t="s">
        <v>4</v>
      </c>
      <c r="G7" s="8" t="s">
        <v>4</v>
      </c>
      <c r="H7" s="112"/>
    </row>
    <row r="8" spans="1:14" ht="14.25" hidden="1" customHeight="1" x14ac:dyDescent="0.25">
      <c r="A8" s="8" t="s">
        <v>6</v>
      </c>
      <c r="B8" s="91">
        <f>COUNTIF(SOCIALIZAÇÃO!$D$5:$D$32,"S")+(COUNTIF(SOCIALIZAÇÃO!$D$5:$D$32,"AV")/2)</f>
        <v>28</v>
      </c>
      <c r="C8" s="6">
        <f>COUNTIF(SOCIALIZAÇÃO!$D$33:$D$47,"S")+(COUNTIF(SOCIALIZAÇÃO!$D$33:$D$47,"AV")/2)</f>
        <v>15</v>
      </c>
      <c r="D8" s="6">
        <f>COUNTIF(SOCIALIZAÇÃO!$D$48:$D$55,"S")+(COUNTIF(SOCIALIZAÇÃO!$D$48:$D$55,"AV")/2)</f>
        <v>8</v>
      </c>
      <c r="E8" s="6">
        <f>COUNTIF(SOCIALIZAÇÃO!$D$56:$D$67,"S")+(COUNTIF(SOCIALIZAÇÃO!$D$56:$D$67,"AV")/2)</f>
        <v>12</v>
      </c>
      <c r="F8" s="6">
        <f>COUNTIF(SOCIALIZAÇÃO!$D$68:$D$76,"S")+(COUNTIF(SOCIALIZAÇÃO!$D$68:$D$76,"AV")/2)</f>
        <v>9</v>
      </c>
      <c r="G8" s="6">
        <f>COUNTIF(SOCIALIZAÇÃO!$D$77:$D$87,"S")+(COUNTIF(SOCIALIZAÇÃO!$D$77:$D$87,"AV")/2)</f>
        <v>11</v>
      </c>
      <c r="H8" s="6">
        <f>SUM(B8:G8)</f>
        <v>83</v>
      </c>
    </row>
    <row r="9" spans="1:14" ht="14.25" hidden="1" customHeight="1" x14ac:dyDescent="0.25">
      <c r="A9" s="8" t="s">
        <v>7</v>
      </c>
      <c r="B9" s="6">
        <f>COUNTIF(LINGUAGEM!$D$5:$D$14,"S")+(COUNTIF(LINGUAGEM!$D$5:$D$14,"AV")/2)</f>
        <v>10</v>
      </c>
      <c r="C9" s="6">
        <f>COUNTIF(LINGUAGEM!$D$15:$D$32,"S")+(COUNTIF(LINGUAGEM!$D$15:$D$32,"AV")/2)</f>
        <v>18</v>
      </c>
      <c r="D9" s="6">
        <f>COUNTIF(LINGUAGEM!$D$33:$D$62,"S")+(COUNTIF(LINGUAGEM!$D$33:$D$62,"AV")/2)</f>
        <v>30</v>
      </c>
      <c r="E9" s="6">
        <f>COUNTIF(LINGUAGEM!$D$63:$D$74,"S")+(COUNTIF(LINGUAGEM!$D$63:$D$74,"AV")/2)</f>
        <v>12</v>
      </c>
      <c r="F9" s="6">
        <f>COUNTIF(LINGUAGEM!$D$75:$D$89,"S")+(COUNTIF(LINGUAGEM!$D$75:$D$89,"AV")/2)</f>
        <v>15</v>
      </c>
      <c r="G9" s="6">
        <f>COUNTIF(LINGUAGEM!$D$90:$D$104,"S")+(COUNTIF(LINGUAGEM!$D$90:$D$104,"AV")/2)</f>
        <v>14</v>
      </c>
      <c r="H9" s="6">
        <f>SUM(B9:G9)</f>
        <v>99</v>
      </c>
    </row>
    <row r="10" spans="1:14" ht="15" hidden="1" customHeight="1" x14ac:dyDescent="0.25">
      <c r="A10" s="8" t="s">
        <v>8</v>
      </c>
      <c r="B10" s="6">
        <f>COUNTIF('AUTOS CUIDADOS'!$D$5:$D$17,"S")+(COUNTIF('AUTOS CUIDADOS'!$D$5:$D$17,"AV")/2)</f>
        <v>13</v>
      </c>
      <c r="C10" s="6">
        <f>COUNTIF('AUTOS CUIDADOS'!$D$18:$D$29,"S")+(COUNTIF('AUTOS CUIDADOS'!$D$18:$D$29,"AV")/2)</f>
        <v>12</v>
      </c>
      <c r="D10" s="6">
        <f>COUNTIF('AUTOS CUIDADOS'!$D$30:$D$56,"S")+(COUNTIF('AUTOS CUIDADOS'!$D$30:$D$56,"AV")/2)</f>
        <v>27</v>
      </c>
      <c r="E10" s="6">
        <f>COUNTIF('AUTOS CUIDADOS'!$D$57:$D$71,"S")+(COUNTIF('AUTOS CUIDADOS'!$D$57:$D$71,"AV")/2)</f>
        <v>15</v>
      </c>
      <c r="F10" s="6">
        <f>COUNTIF('AUTOS CUIDADOS'!$D$72:$D$94,"S")+(COUNTIF('AUTOS CUIDADOS'!$D$72:$D$94,"AV")/2)</f>
        <v>23</v>
      </c>
      <c r="G10" s="6">
        <f>COUNTIF('AUTOS CUIDADOS'!$D$95:$D$109,"S")+(COUNTIF('AUTOS CUIDADOS'!$D$95:$D$109,"AV")/2)</f>
        <v>15</v>
      </c>
      <c r="H10" s="6">
        <f>SUM(B10:G10)</f>
        <v>105</v>
      </c>
    </row>
    <row r="11" spans="1:14" ht="16.5" hidden="1" customHeight="1" x14ac:dyDescent="0.25">
      <c r="A11" s="8" t="s">
        <v>9</v>
      </c>
      <c r="B11" s="6">
        <f>COUNTIF(COGNIÇÃO!$D$5:$D$18,"S")+(COUNTIF(COGNIÇÃO!$D$5:$D$18,"AV")/2)</f>
        <v>14</v>
      </c>
      <c r="C11" s="6">
        <f>COUNTIF(COGNIÇÃO!$D$19:$D$28,"S")+(COUNTIF(COGNIÇÃO!$D$19:$D$28,"AV")/2)</f>
        <v>10</v>
      </c>
      <c r="D11" s="6">
        <f>COUNTIF(COGNIÇÃO!$D$29:$D$44,"S")+(COUNTIF(COGNIÇÃO!$D$29:$D$44,"AV")/2)</f>
        <v>16</v>
      </c>
      <c r="E11" s="6">
        <f>COUNTIF(COGNIÇÃO!$D$45:$D$68,"S")+(COUNTIF(COGNIÇÃO!$D$45:$D$68,"AV")/2)</f>
        <v>24</v>
      </c>
      <c r="F11" s="6">
        <f>COUNTIF(COGNIÇÃO!$D$69:$D$90,"S")+(COUNTIF(COGNIÇÃO!$D$69:$D$90,"AV")/2)</f>
        <v>22</v>
      </c>
      <c r="G11" s="6">
        <f>COUNTIF(COGNIÇÃO!$D$91:$D$112,"S")+(COUNTIF(COGNIÇÃO!$D$91:$D$112,"AV")/2)</f>
        <v>22</v>
      </c>
      <c r="H11" s="6">
        <f>SUM(B11:G11)</f>
        <v>108</v>
      </c>
    </row>
    <row r="12" spans="1:14" ht="14.25" hidden="1" customHeight="1" x14ac:dyDescent="0.25">
      <c r="A12" s="8" t="s">
        <v>10</v>
      </c>
      <c r="B12" s="6">
        <f>COUNTIF(MOTOR!$D$5:$D$49,"S")+(COUNTIF(MOTOR!$D$5:$D$49,"AV")/2)</f>
        <v>45</v>
      </c>
      <c r="C12" s="6">
        <f>COUNTIF(MOTOR!$D$50:$D$67,"S")+(COUNTIF(MOTOR!$D$50:$D$67,"AV")/2)</f>
        <v>18</v>
      </c>
      <c r="D12" s="6">
        <f>COUNTIF(MOTOR!$D$68:$D$84,"S")+(COUNTIF(MOTOR!$D$68:$D$84,"AV")/2)</f>
        <v>17</v>
      </c>
      <c r="E12" s="6">
        <f>COUNTIF(MOTOR!$D$85:$D$99,"S")+(COUNTIF(MOTOR!$D$85:$D$99,"AV")/2)</f>
        <v>15</v>
      </c>
      <c r="F12" s="6">
        <f>COUNTIF(MOTOR!$D$100:$D$115,"S")+(COUNTIF(MOTOR!$D$100:$D$115,"AV")/2)</f>
        <v>16</v>
      </c>
      <c r="G12" s="6">
        <f>COUNTIF(MOTOR!$D$116:$D$144,"S")+(COUNTIF(MOTOR!$D$116:$D$144,"AV")/2)</f>
        <v>29</v>
      </c>
      <c r="H12" s="6">
        <f>SUM(B12:G12)</f>
        <v>140</v>
      </c>
    </row>
    <row r="13" spans="1:14" hidden="1" x14ac:dyDescent="0.25">
      <c r="A13" s="8" t="s">
        <v>518</v>
      </c>
      <c r="B13" s="6">
        <f t="shared" ref="B13:G13" si="0">SUM(B8:B12)</f>
        <v>110</v>
      </c>
      <c r="C13" s="6">
        <f t="shared" si="0"/>
        <v>73</v>
      </c>
      <c r="D13" s="6">
        <f t="shared" si="0"/>
        <v>98</v>
      </c>
      <c r="E13" s="6">
        <f>SUM(E8:E12)</f>
        <v>78</v>
      </c>
      <c r="F13" s="6">
        <f t="shared" si="0"/>
        <v>85</v>
      </c>
      <c r="G13" s="6">
        <f t="shared" si="0"/>
        <v>91</v>
      </c>
      <c r="H13" s="6"/>
    </row>
    <row r="14" spans="1:14" ht="14.25" hidden="1" customHeight="1" x14ac:dyDescent="0.25"/>
    <row r="15" spans="1:14" ht="14.25" customHeight="1" x14ac:dyDescent="0.25">
      <c r="A15" s="106" t="s">
        <v>521</v>
      </c>
      <c r="B15" s="106"/>
      <c r="C15" s="106"/>
      <c r="D15" s="106"/>
      <c r="E15" s="106"/>
      <c r="F15" s="106"/>
    </row>
    <row r="16" spans="1:14" ht="33" customHeight="1" x14ac:dyDescent="0.25">
      <c r="A16" s="107" t="s">
        <v>522</v>
      </c>
      <c r="B16" s="107"/>
      <c r="C16" s="107"/>
      <c r="D16" s="108"/>
      <c r="E16" s="45" t="s">
        <v>523</v>
      </c>
      <c r="F16" s="97">
        <v>7</v>
      </c>
      <c r="I16" s="105" t="s">
        <v>5</v>
      </c>
      <c r="J16" s="105"/>
      <c r="K16" s="105"/>
      <c r="L16" s="105"/>
      <c r="M16" s="105"/>
      <c r="N16" s="105"/>
    </row>
    <row r="17" spans="1:14" ht="31.5" customHeight="1" thickBot="1" x14ac:dyDescent="0.3">
      <c r="A17" s="84" t="s">
        <v>524</v>
      </c>
      <c r="B17" s="85" t="s">
        <v>6</v>
      </c>
      <c r="C17" s="86" t="s">
        <v>7</v>
      </c>
      <c r="D17" s="87" t="s">
        <v>9</v>
      </c>
      <c r="E17" s="88" t="s">
        <v>525</v>
      </c>
      <c r="F17" s="89" t="s">
        <v>526</v>
      </c>
      <c r="G17" s="90" t="s">
        <v>519</v>
      </c>
      <c r="I17" s="84" t="s">
        <v>524</v>
      </c>
      <c r="J17" s="85" t="s">
        <v>6</v>
      </c>
      <c r="K17" s="86" t="s">
        <v>7</v>
      </c>
      <c r="L17" s="87" t="s">
        <v>9</v>
      </c>
      <c r="M17" s="88" t="s">
        <v>525</v>
      </c>
      <c r="N17" s="89" t="s">
        <v>526</v>
      </c>
    </row>
    <row r="18" spans="1:14" ht="32.25" customHeight="1" thickBot="1" x14ac:dyDescent="0.3">
      <c r="A18" s="53" t="s">
        <v>527</v>
      </c>
      <c r="B18" s="54">
        <f>B8</f>
        <v>28</v>
      </c>
      <c r="C18" s="55">
        <f>B9</f>
        <v>10</v>
      </c>
      <c r="D18" s="81">
        <f>B11</f>
        <v>14</v>
      </c>
      <c r="E18" s="57">
        <f>B10</f>
        <v>13</v>
      </c>
      <c r="F18" s="58">
        <f>B12</f>
        <v>45</v>
      </c>
      <c r="G18" s="66" t="str">
        <f>ROUND(((((B18*12)/28)+((C18*12)/10)+((D18*12)/14)+((E18*12)/13)+((F18*12)/45))/60)*12,0)&amp; " Meses"</f>
        <v>12 Meses</v>
      </c>
      <c r="I18" s="53" t="s">
        <v>527</v>
      </c>
      <c r="J18" s="92">
        <f>B18/28</f>
        <v>1</v>
      </c>
      <c r="K18" s="93">
        <f>C18/10</f>
        <v>1</v>
      </c>
      <c r="L18" s="94">
        <f>D18/14</f>
        <v>1</v>
      </c>
      <c r="M18" s="95">
        <f>E18/13</f>
        <v>1</v>
      </c>
      <c r="N18" s="96">
        <f>F18/45</f>
        <v>1</v>
      </c>
    </row>
    <row r="19" spans="1:14" ht="32.25" customHeight="1" thickBot="1" x14ac:dyDescent="0.3">
      <c r="A19" s="53" t="s">
        <v>528</v>
      </c>
      <c r="B19" s="54">
        <f>C8</f>
        <v>15</v>
      </c>
      <c r="C19" s="55">
        <f>C9</f>
        <v>18</v>
      </c>
      <c r="D19" s="81">
        <f>C11</f>
        <v>10</v>
      </c>
      <c r="E19" s="57">
        <f>C10</f>
        <v>12</v>
      </c>
      <c r="F19" s="58">
        <f>C12</f>
        <v>18</v>
      </c>
      <c r="G19" s="83" t="str">
        <f>((((B19*12)/15)+((C19*12)/18)+((D19*12)/10)+((E19*12)/12)+((F19*12)/18))/30)*12 &amp; " meses"</f>
        <v>24 meses</v>
      </c>
      <c r="I19" s="53" t="s">
        <v>528</v>
      </c>
      <c r="J19" s="92">
        <f>B19/15</f>
        <v>1</v>
      </c>
      <c r="K19" s="93">
        <f>C19/18</f>
        <v>1</v>
      </c>
      <c r="L19" s="94">
        <f>D19/10</f>
        <v>1</v>
      </c>
      <c r="M19" s="95">
        <f>E19/12</f>
        <v>1</v>
      </c>
      <c r="N19" s="96">
        <f>F19/18</f>
        <v>1</v>
      </c>
    </row>
    <row r="20" spans="1:14" ht="32.25" customHeight="1" thickBot="1" x14ac:dyDescent="0.3">
      <c r="A20" s="53" t="s">
        <v>529</v>
      </c>
      <c r="B20" s="54">
        <f>D8</f>
        <v>8</v>
      </c>
      <c r="C20" s="55">
        <f>D9</f>
        <v>30</v>
      </c>
      <c r="D20" s="81">
        <f>D11</f>
        <v>16</v>
      </c>
      <c r="E20" s="57">
        <f>D10</f>
        <v>27</v>
      </c>
      <c r="F20" s="58">
        <f>D12</f>
        <v>17</v>
      </c>
      <c r="G20" s="83" t="str">
        <f>((((B20*12)/8)+((C20*12)/30)+((D20*12)/16)+((E20*12)/27)+((F20*12)/17))/20)*12 &amp; " meses"</f>
        <v>36 meses</v>
      </c>
      <c r="I20" s="53" t="s">
        <v>529</v>
      </c>
      <c r="J20" s="92">
        <f>B20/8</f>
        <v>1</v>
      </c>
      <c r="K20" s="93">
        <f>C20/30</f>
        <v>1</v>
      </c>
      <c r="L20" s="94">
        <f>D20/16</f>
        <v>1</v>
      </c>
      <c r="M20" s="95">
        <f>E20/27</f>
        <v>1</v>
      </c>
      <c r="N20" s="96">
        <f>F20/17</f>
        <v>1</v>
      </c>
    </row>
    <row r="21" spans="1:14" ht="32.25" customHeight="1" thickBot="1" x14ac:dyDescent="0.3">
      <c r="A21" s="53" t="s">
        <v>530</v>
      </c>
      <c r="B21" s="54">
        <f>E8</f>
        <v>12</v>
      </c>
      <c r="C21" s="55">
        <f>E9</f>
        <v>12</v>
      </c>
      <c r="D21" s="81">
        <f>E11</f>
        <v>24</v>
      </c>
      <c r="E21" s="57">
        <f>E10</f>
        <v>15</v>
      </c>
      <c r="F21" s="58">
        <f>E12</f>
        <v>15</v>
      </c>
      <c r="G21" s="83" t="str">
        <f>((((B21*12)/12)+((C21*12)/12)+((D21*12)/24)+((E21*12)/15)+((F21*12)/15))/15)*12 &amp; " meses"</f>
        <v>48 meses</v>
      </c>
      <c r="I21" s="53" t="s">
        <v>530</v>
      </c>
      <c r="J21" s="92">
        <f>B21/12</f>
        <v>1</v>
      </c>
      <c r="K21" s="93">
        <f>C21/12</f>
        <v>1</v>
      </c>
      <c r="L21" s="94">
        <f>D21/24</f>
        <v>1</v>
      </c>
      <c r="M21" s="95">
        <f>E21/15</f>
        <v>1</v>
      </c>
      <c r="N21" s="96">
        <f>F21/15</f>
        <v>1</v>
      </c>
    </row>
    <row r="22" spans="1:14" ht="32.25" customHeight="1" thickBot="1" x14ac:dyDescent="0.3">
      <c r="A22" s="53" t="s">
        <v>531</v>
      </c>
      <c r="B22" s="54">
        <f>F8</f>
        <v>9</v>
      </c>
      <c r="C22" s="55">
        <f>F9</f>
        <v>15</v>
      </c>
      <c r="D22" s="81">
        <f>F11</f>
        <v>22</v>
      </c>
      <c r="E22" s="57">
        <f>F10</f>
        <v>23</v>
      </c>
      <c r="F22" s="58">
        <f>F12</f>
        <v>16</v>
      </c>
      <c r="G22" s="83" t="str">
        <f>((((B22*12)/9)+((C22*12)/15)+((D22*12)/22)+((E22*12)/23)+((F22*12)/16))/12)*12 &amp; " meses"</f>
        <v>60 meses</v>
      </c>
      <c r="I22" s="53" t="s">
        <v>531</v>
      </c>
      <c r="J22" s="92">
        <f>B22/9</f>
        <v>1</v>
      </c>
      <c r="K22" s="93">
        <f>C22/15</f>
        <v>1</v>
      </c>
      <c r="L22" s="94">
        <f>D22/22</f>
        <v>1</v>
      </c>
      <c r="M22" s="95">
        <f>E22/23</f>
        <v>1</v>
      </c>
      <c r="N22" s="96">
        <f>F22/16</f>
        <v>1</v>
      </c>
    </row>
    <row r="23" spans="1:14" ht="32.25" customHeight="1" thickBot="1" x14ac:dyDescent="0.3">
      <c r="A23" s="59" t="s">
        <v>532</v>
      </c>
      <c r="B23" s="60">
        <f>G8</f>
        <v>11</v>
      </c>
      <c r="C23" s="55">
        <v>14</v>
      </c>
      <c r="D23" s="82">
        <f>G11</f>
        <v>22</v>
      </c>
      <c r="E23" s="63">
        <f>G10</f>
        <v>15</v>
      </c>
      <c r="F23" s="64">
        <f>G12</f>
        <v>29</v>
      </c>
      <c r="G23" s="83" t="str">
        <f>((((B23*12)/11)+((C23*12)/14)+((D23*12)/22)+((E23*12)/15)+((F23*12)/29))/10)*12 &amp; " meses"</f>
        <v>72 meses</v>
      </c>
      <c r="I23" s="53" t="s">
        <v>532</v>
      </c>
      <c r="J23" s="92">
        <f>B23/11</f>
        <v>1</v>
      </c>
      <c r="K23" s="93">
        <f>C23/14</f>
        <v>1</v>
      </c>
      <c r="L23" s="94">
        <f>D23/22</f>
        <v>1</v>
      </c>
      <c r="M23" s="95">
        <f>E23/15</f>
        <v>1</v>
      </c>
      <c r="N23" s="96">
        <f>F23/29</f>
        <v>1</v>
      </c>
    </row>
    <row r="24" spans="1:14" ht="45.75" thickBot="1" x14ac:dyDescent="0.3">
      <c r="A24" s="65" t="s">
        <v>533</v>
      </c>
      <c r="B24" s="66">
        <f>ROUND(((((B18*12)/28)+((B19*12)/16)+((B20*12)/8)+((B21*12)/12)+((B22*12)/9)+((B23*12)/11))/12),0)</f>
        <v>6</v>
      </c>
      <c r="C24" s="66">
        <f>ROUND(((((C18*12)/10)+((C19*12)/18)+((C20*12)/30)+((C21*12)/24)+((C22*12)/15)+((C23*12)/14))/12),0)</f>
        <v>6</v>
      </c>
      <c r="D24" s="66">
        <f>ROUND(((((D18*12)/14)+((D19*12)/10)+((D20*12)/16)+((D21*12)/24)+((D22*12)/22)+((D23*12)/22))/12),0)</f>
        <v>6</v>
      </c>
      <c r="E24" s="66">
        <f>ROUND(((((E18*12)/13)+((E19*12)/12)+((E20*12)/27)+((E21*12)/15)+((E22*12)/23)+((E23*12)/15))/12),0)</f>
        <v>6</v>
      </c>
      <c r="F24" s="66">
        <f>ROUND(((((F18*12)/45)+((F19*12)/18)+((F20*12)/17)+((F21*12)/15)+((F22*12)/16)+((F23*12)/29))/12),0)</f>
        <v>6</v>
      </c>
      <c r="G24" s="66" t="str">
        <f>AVERAGE(B24:F24) &amp; " Anos"</f>
        <v>6 Anos</v>
      </c>
    </row>
    <row r="25" spans="1:14" ht="68.25" customHeight="1" x14ac:dyDescent="0.25">
      <c r="A25" s="109" t="s">
        <v>534</v>
      </c>
      <c r="B25" s="109"/>
      <c r="C25" s="109"/>
      <c r="D25" s="109"/>
      <c r="E25" s="109"/>
      <c r="F25" s="109"/>
    </row>
    <row r="26" spans="1:14" ht="14.25" customHeight="1" x14ac:dyDescent="0.25"/>
    <row r="27" spans="1:14" ht="33.75" customHeight="1" thickBot="1" x14ac:dyDescent="0.3">
      <c r="A27" s="98" t="s">
        <v>5</v>
      </c>
      <c r="B27" s="99">
        <f>F16/F16</f>
        <v>1</v>
      </c>
      <c r="C27" s="99">
        <v>0.86</v>
      </c>
    </row>
    <row r="28" spans="1:14" ht="30.75" thickBot="1" x14ac:dyDescent="0.3">
      <c r="A28" s="98" t="s">
        <v>724</v>
      </c>
      <c r="B28" s="66">
        <v>7</v>
      </c>
      <c r="C28" s="66">
        <f>AVERAGE(B24:F24)</f>
        <v>6</v>
      </c>
    </row>
    <row r="29" spans="1:14" ht="14.25" customHeight="1" x14ac:dyDescent="0.25"/>
    <row r="30" spans="1:14" ht="14.25" customHeight="1" x14ac:dyDescent="0.25"/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mergeCells count="7">
    <mergeCell ref="A1:H1"/>
    <mergeCell ref="I16:N16"/>
    <mergeCell ref="A15:F15"/>
    <mergeCell ref="A16:D16"/>
    <mergeCell ref="A25:F25"/>
    <mergeCell ref="A4:G4"/>
    <mergeCell ref="H6:H7"/>
  </mergeCells>
  <pageMargins left="0.511811024" right="0.511811024" top="0.78740157499999996" bottom="0.78740157499999996" header="0" footer="0"/>
  <pageSetup paperSize="9" orientation="portrait" r:id="rId1"/>
  <ignoredErrors>
    <ignoredError sqref="J18:N23 D22:D23 B19:B23 B18:F18 C19:F21 C22:C23 E22:F23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9"/>
  <dimension ref="A1:F18"/>
  <sheetViews>
    <sheetView topLeftCell="A3" zoomScaleNormal="100" workbookViewId="0">
      <selection sqref="A1:F11"/>
    </sheetView>
  </sheetViews>
  <sheetFormatPr defaultColWidth="9.140625" defaultRowHeight="15" x14ac:dyDescent="0.25"/>
  <cols>
    <col min="1" max="1" width="15.28515625" style="44" customWidth="1"/>
    <col min="2" max="2" width="15" style="44" customWidth="1"/>
    <col min="3" max="3" width="14.140625" style="44" customWidth="1"/>
    <col min="4" max="4" width="13.5703125" style="44" customWidth="1"/>
    <col min="5" max="5" width="12.7109375" style="44" customWidth="1"/>
    <col min="6" max="6" width="14" style="44" customWidth="1"/>
    <col min="7" max="16384" width="9.140625" style="44"/>
  </cols>
  <sheetData>
    <row r="1" spans="1:6" ht="49.5" customHeight="1" x14ac:dyDescent="0.25">
      <c r="A1" s="106" t="s">
        <v>521</v>
      </c>
      <c r="B1" s="106"/>
      <c r="C1" s="106"/>
      <c r="D1" s="106"/>
      <c r="E1" s="106"/>
      <c r="F1" s="106"/>
    </row>
    <row r="2" spans="1:6" ht="22.5" customHeight="1" x14ac:dyDescent="0.25">
      <c r="A2" s="113" t="s">
        <v>522</v>
      </c>
      <c r="B2" s="113"/>
      <c r="C2" s="113"/>
      <c r="D2" s="114"/>
      <c r="E2" s="45" t="s">
        <v>523</v>
      </c>
      <c r="F2" s="46">
        <v>7</v>
      </c>
    </row>
    <row r="3" spans="1:6" ht="53.25" customHeight="1" x14ac:dyDescent="0.25">
      <c r="A3" s="47" t="s">
        <v>524</v>
      </c>
      <c r="B3" s="48" t="s">
        <v>6</v>
      </c>
      <c r="C3" s="49" t="s">
        <v>7</v>
      </c>
      <c r="D3" s="50" t="s">
        <v>9</v>
      </c>
      <c r="E3" s="51" t="s">
        <v>525</v>
      </c>
      <c r="F3" s="52" t="s">
        <v>526</v>
      </c>
    </row>
    <row r="4" spans="1:6" ht="20.100000000000001" customHeight="1" x14ac:dyDescent="0.25">
      <c r="A4" s="53" t="s">
        <v>527</v>
      </c>
      <c r="B4" s="54">
        <v>0</v>
      </c>
      <c r="C4" s="55">
        <v>12</v>
      </c>
      <c r="D4" s="56">
        <v>13</v>
      </c>
      <c r="E4" s="57">
        <v>5</v>
      </c>
      <c r="F4" s="58">
        <v>4</v>
      </c>
    </row>
    <row r="5" spans="1:6" ht="21.95" customHeight="1" x14ac:dyDescent="0.25">
      <c r="A5" s="53" t="s">
        <v>528</v>
      </c>
      <c r="B5" s="54">
        <v>0</v>
      </c>
      <c r="C5" s="55">
        <v>0</v>
      </c>
      <c r="D5" s="56">
        <v>0</v>
      </c>
      <c r="E5" s="57">
        <v>0</v>
      </c>
      <c r="F5" s="58">
        <v>0</v>
      </c>
    </row>
    <row r="6" spans="1:6" ht="21.95" customHeight="1" x14ac:dyDescent="0.25">
      <c r="A6" s="53" t="s">
        <v>529</v>
      </c>
      <c r="B6" s="54">
        <v>0</v>
      </c>
      <c r="C6" s="55">
        <v>0</v>
      </c>
      <c r="D6" s="56">
        <v>0</v>
      </c>
      <c r="E6" s="57">
        <v>0</v>
      </c>
      <c r="F6" s="58">
        <v>0</v>
      </c>
    </row>
    <row r="7" spans="1:6" ht="21.95" customHeight="1" x14ac:dyDescent="0.25">
      <c r="A7" s="53" t="s">
        <v>530</v>
      </c>
      <c r="B7" s="54">
        <v>0</v>
      </c>
      <c r="C7" s="55">
        <v>0</v>
      </c>
      <c r="D7" s="56">
        <v>0</v>
      </c>
      <c r="E7" s="57">
        <v>0</v>
      </c>
      <c r="F7" s="58">
        <v>0</v>
      </c>
    </row>
    <row r="8" spans="1:6" ht="21.95" customHeight="1" x14ac:dyDescent="0.25">
      <c r="A8" s="53" t="s">
        <v>531</v>
      </c>
      <c r="B8" s="54">
        <v>0</v>
      </c>
      <c r="C8" s="55">
        <v>0</v>
      </c>
      <c r="D8" s="56">
        <v>0</v>
      </c>
      <c r="E8" s="57">
        <v>0</v>
      </c>
      <c r="F8" s="58">
        <v>0</v>
      </c>
    </row>
    <row r="9" spans="1:6" ht="21.95" customHeight="1" thickBot="1" x14ac:dyDescent="0.3">
      <c r="A9" s="59" t="s">
        <v>532</v>
      </c>
      <c r="B9" s="60">
        <v>0</v>
      </c>
      <c r="C9" s="61">
        <v>0</v>
      </c>
      <c r="D9" s="62">
        <v>0</v>
      </c>
      <c r="E9" s="63">
        <v>0</v>
      </c>
      <c r="F9" s="64">
        <v>0</v>
      </c>
    </row>
    <row r="10" spans="1:6" ht="49.5" customHeight="1" thickBot="1" x14ac:dyDescent="0.3">
      <c r="A10" s="65" t="s">
        <v>533</v>
      </c>
      <c r="B10" s="66" t="str">
        <f>ROUND(((((B4*12)/28)+((B5*12)/16)+((B6*12)/8)+((B7*12)/12)+((B8*12)/9)+((B9*12)/11))/12),0)  &amp; " anos"</f>
        <v>0 anos</v>
      </c>
      <c r="C10" s="66" t="str">
        <f>ROUND(((((C4*12)/10)+((C5*12)/18)+((C6*12)/30)+((C7*12)/24)+((C8*12)/15)+((C9*12)/14))/12),0)  &amp; " anos"</f>
        <v>1 anos</v>
      </c>
      <c r="D10" s="66" t="str">
        <f>ROUND(((((D4*12)/14)+((D5*12)/10)+((D6*12)/16)+((D7*12)/24)+((D8*12)/22)+((D9*12)/22))/12),0)  &amp; " anos"</f>
        <v>1 anos</v>
      </c>
      <c r="E10" s="66" t="str">
        <f>ROUND(((((E4*12)/13)+((E5*12)/12)+((E6*12)/27)+((E7*12)/15)+((E8*12)/23)+((E9*12)/15))/12),0)  &amp; " anos"</f>
        <v>0 anos</v>
      </c>
      <c r="F10" s="66" t="str">
        <f>ROUND(((((F4*12)/45)+((F5*12)/18)+((F6*12)/17)+((F7*12)/15)+((F8*12)/16)+((F9*12)/29))/12),0)  &amp; " anos"</f>
        <v>0 anos</v>
      </c>
    </row>
    <row r="11" spans="1:6" ht="54.75" customHeight="1" x14ac:dyDescent="0.25">
      <c r="A11" s="115" t="s">
        <v>534</v>
      </c>
      <c r="B11" s="115"/>
      <c r="C11" s="115"/>
      <c r="D11" s="115"/>
      <c r="E11" s="115"/>
      <c r="F11" s="115"/>
    </row>
    <row r="12" spans="1:6" ht="12" customHeight="1" x14ac:dyDescent="0.25">
      <c r="A12" s="67"/>
      <c r="B12" s="67">
        <f>((((B4*12)/28)+((B5*12)/16)+((B6*12)/8)+((B7*12)/12)+((B8*12)/9)+((B9*12)/11))/12)</f>
        <v>0</v>
      </c>
      <c r="C12" s="67">
        <f>((((C4*12)/10)+((C5*12)/18)+((C6*12)/30)+((C7*12)/24)+((C8*12)/15)+((C9*12)/14))/12)</f>
        <v>1.2</v>
      </c>
      <c r="D12" s="67">
        <f>((((D4*12)/14)+((D5*12)/10)+((D6*12)/16)+((D7*12)/24)+((D8*12)/22)+((D9*12)/22))/12)</f>
        <v>0.92857142857142849</v>
      </c>
      <c r="E12" s="67">
        <f>((((E4*12)/13)+((E5*12)/12)+((E6*12)/27)+((E7*12)/15)+((E8*12)/23)+((E9*12)/15))/12)</f>
        <v>0.38461538461538458</v>
      </c>
      <c r="F12" s="67">
        <f>((((F4*12)/45)+((F5*12)/18)+((F6*12)/17)+((F7*12)/15)+((F8*12)/16)+((F9*12)/29))/12)</f>
        <v>8.8888888888888892E-2</v>
      </c>
    </row>
    <row r="13" spans="1:6" x14ac:dyDescent="0.25">
      <c r="A13" s="68"/>
      <c r="B13" s="68">
        <f>IF(F2&gt;6,6,F2)</f>
        <v>6</v>
      </c>
      <c r="C13" s="68">
        <f>IF(F2&gt;6,6,F2)</f>
        <v>6</v>
      </c>
      <c r="D13" s="68">
        <f>IF(F2&gt;6,6,F2)</f>
        <v>6</v>
      </c>
      <c r="E13" s="68">
        <f>IF(F2&gt;6,6,F2)</f>
        <v>6</v>
      </c>
      <c r="F13" s="68">
        <f>IF(F2&gt;6,6,F2)</f>
        <v>6</v>
      </c>
    </row>
    <row r="14" spans="1:6" x14ac:dyDescent="0.25">
      <c r="F14" s="69" t="s">
        <v>535</v>
      </c>
    </row>
    <row r="15" spans="1:6" ht="36.75" x14ac:dyDescent="0.25">
      <c r="F15" s="70" t="s">
        <v>536</v>
      </c>
    </row>
    <row r="17" spans="6:6" x14ac:dyDescent="0.25">
      <c r="F17" s="69" t="s">
        <v>537</v>
      </c>
    </row>
    <row r="18" spans="6:6" ht="36.75" x14ac:dyDescent="0.25">
      <c r="F18" s="70" t="s">
        <v>538</v>
      </c>
    </row>
  </sheetData>
  <sheetProtection algorithmName="SHA-512" hashValue="k9RaEIKeaY6B4M6KfBJM8llhrj7WMbc0VjjH/jj+VnQV7RXVyJGluEfZCXcakLGAk7Dr11Wa82fGkcX3jeclRQ==" saltValue="daemutjxab8oflb20LXZRg==" spinCount="100000" sheet="1" objects="1" scenarios="1"/>
  <mergeCells count="3">
    <mergeCell ref="A1:F1"/>
    <mergeCell ref="A2:D2"/>
    <mergeCell ref="A11:F11"/>
  </mergeCells>
  <pageMargins left="0.511811024" right="0.511811024" top="0.78740157499999996" bottom="0.78740157499999996" header="0.31496062000000002" footer="0.31496062000000002"/>
  <pageSetup paperSize="9" fitToWidth="0" fitToHeight="0" orientation="portrait" r:id="rId1"/>
  <headerFooter>
    <oddHeader>&amp;LNome aluno: ____________________________________________________
Professor: _______________________________________________________&amp;RIdade: _________________________
Data avaliação __________________</oddHeader>
    <oddFooter>&amp;C&amp;9institutoitard.com.br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Q996"/>
  <sheetViews>
    <sheetView zoomScaleNormal="100" workbookViewId="0">
      <selection activeCell="B12" sqref="B12"/>
    </sheetView>
  </sheetViews>
  <sheetFormatPr defaultColWidth="14.42578125" defaultRowHeight="15" customHeight="1" x14ac:dyDescent="0.25"/>
  <cols>
    <col min="1" max="15" width="12.7109375" customWidth="1"/>
    <col min="16" max="26" width="8.7109375" customWidth="1"/>
  </cols>
  <sheetData>
    <row r="1" spans="1:17" ht="38.25" customHeight="1" x14ac:dyDescent="0.25">
      <c r="A1" s="103" t="s">
        <v>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7" ht="14.25" customHeight="1" x14ac:dyDescent="0.25">
      <c r="A2" s="1"/>
      <c r="D2" s="12"/>
    </row>
    <row r="3" spans="1:17" ht="14.25" customHeight="1" x14ac:dyDescent="0.25">
      <c r="A3" s="2"/>
      <c r="G3" s="116" t="s">
        <v>22</v>
      </c>
      <c r="H3" s="116"/>
      <c r="I3" s="116"/>
    </row>
    <row r="4" spans="1:17" ht="14.25" customHeight="1" x14ac:dyDescent="0.25">
      <c r="A4" s="1"/>
      <c r="G4" s="116" t="s">
        <v>24</v>
      </c>
      <c r="H4" s="116"/>
      <c r="I4" s="116"/>
    </row>
    <row r="5" spans="1:17" ht="14.25" customHeight="1" x14ac:dyDescent="0.25">
      <c r="A5" s="1"/>
      <c r="G5" s="116" t="s">
        <v>23</v>
      </c>
      <c r="H5" s="116"/>
      <c r="I5" s="116"/>
    </row>
    <row r="6" spans="1:17" ht="14.25" customHeight="1" x14ac:dyDescent="0.25">
      <c r="A6" s="1"/>
      <c r="G6" s="116" t="s">
        <v>21</v>
      </c>
      <c r="H6" s="116"/>
      <c r="I6" s="116"/>
    </row>
    <row r="7" spans="1:17" ht="14.25" customHeight="1" x14ac:dyDescent="0.25">
      <c r="A7" s="1"/>
      <c r="G7" s="116" t="s">
        <v>20</v>
      </c>
      <c r="H7" s="116"/>
      <c r="I7" s="116"/>
    </row>
    <row r="8" spans="1:17" ht="14.25" customHeight="1" x14ac:dyDescent="0.25">
      <c r="A8" s="1"/>
    </row>
    <row r="9" spans="1:17" ht="14.25" customHeight="1" x14ac:dyDescent="0.25">
      <c r="A9" s="1"/>
    </row>
    <row r="10" spans="1:17" ht="14.25" customHeight="1" x14ac:dyDescent="0.25">
      <c r="A10" s="110" t="s">
        <v>6</v>
      </c>
      <c r="B10" s="110"/>
      <c r="C10" s="110"/>
      <c r="D10" s="110"/>
      <c r="E10" s="110"/>
      <c r="F10" s="110"/>
      <c r="G10" s="110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4.25" customHeight="1" x14ac:dyDescent="0.25">
      <c r="A11" s="8" t="s">
        <v>11</v>
      </c>
      <c r="B11" s="14">
        <v>44317</v>
      </c>
      <c r="C11" s="14">
        <v>44409</v>
      </c>
      <c r="D11" s="14">
        <v>44531</v>
      </c>
      <c r="E11" s="14">
        <v>44593</v>
      </c>
      <c r="F11" s="14">
        <v>44682</v>
      </c>
      <c r="G11" s="14">
        <v>44713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4.25" customHeight="1" x14ac:dyDescent="0.25">
      <c r="A12" s="8" t="s">
        <v>2</v>
      </c>
      <c r="B12" s="6"/>
      <c r="C12" s="6"/>
      <c r="D12" s="6"/>
      <c r="E12" s="6"/>
      <c r="F12" s="6"/>
      <c r="G12" s="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 ht="14.25" customHeight="1" x14ac:dyDescent="0.25">
      <c r="A13" s="9" t="s">
        <v>15</v>
      </c>
      <c r="B13" s="6"/>
      <c r="C13" s="6"/>
      <c r="D13" s="6"/>
      <c r="E13" s="6"/>
      <c r="F13" s="6"/>
      <c r="G13" s="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4.25" customHeight="1" x14ac:dyDescent="0.25">
      <c r="A14" s="9" t="s">
        <v>16</v>
      </c>
      <c r="B14" s="6"/>
      <c r="C14" s="6"/>
      <c r="D14" s="6"/>
      <c r="E14" s="6"/>
      <c r="F14" s="6"/>
      <c r="G14" s="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 ht="14.25" customHeight="1" x14ac:dyDescent="0.25">
      <c r="A15" s="9" t="s">
        <v>17</v>
      </c>
      <c r="B15" s="6"/>
      <c r="C15" s="6"/>
      <c r="D15" s="6"/>
      <c r="E15" s="6"/>
      <c r="F15" s="6"/>
      <c r="G15" s="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17" ht="14.25" customHeight="1" x14ac:dyDescent="0.25">
      <c r="A16" s="9" t="s">
        <v>19</v>
      </c>
      <c r="B16" s="6"/>
      <c r="C16" s="6"/>
      <c r="D16" s="6"/>
      <c r="E16" s="6"/>
      <c r="F16" s="6"/>
      <c r="G16" s="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15" customHeight="1" x14ac:dyDescent="0.25">
      <c r="A17" s="9" t="s">
        <v>18</v>
      </c>
      <c r="B17" s="6"/>
      <c r="C17" s="6"/>
      <c r="D17" s="6"/>
      <c r="E17" s="6"/>
      <c r="F17" s="6"/>
      <c r="G17" s="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6.5" customHeight="1" x14ac:dyDescent="0.25">
      <c r="A18" s="7"/>
      <c r="B18" s="7"/>
      <c r="C18" s="7"/>
      <c r="D18" s="7"/>
      <c r="E18" s="7"/>
      <c r="F18" s="7"/>
      <c r="G18" s="27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ht="14.25" customHeight="1" x14ac:dyDescent="0.25">
      <c r="A19" s="110" t="s">
        <v>7</v>
      </c>
      <c r="B19" s="110"/>
      <c r="C19" s="110"/>
      <c r="D19" s="110"/>
      <c r="E19" s="110"/>
      <c r="F19" s="110"/>
      <c r="G19" s="110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4.25" customHeight="1" x14ac:dyDescent="0.25">
      <c r="A20" s="15" t="s">
        <v>11</v>
      </c>
      <c r="B20" s="17">
        <v>44317</v>
      </c>
      <c r="C20" s="17">
        <v>44409</v>
      </c>
      <c r="D20" s="17">
        <v>44531</v>
      </c>
      <c r="E20" s="17">
        <v>44593</v>
      </c>
      <c r="F20" s="17">
        <v>44682</v>
      </c>
      <c r="G20" s="17">
        <v>44713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14.25" customHeight="1" x14ac:dyDescent="0.25">
      <c r="A21" s="15" t="s">
        <v>2</v>
      </c>
      <c r="B21" s="28"/>
      <c r="C21" s="28"/>
      <c r="D21" s="28"/>
      <c r="E21" s="28"/>
      <c r="F21" s="28"/>
      <c r="G21" s="28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ht="14.25" customHeight="1" x14ac:dyDescent="0.25">
      <c r="A22" s="16" t="s">
        <v>15</v>
      </c>
      <c r="B22" s="28"/>
      <c r="C22" s="28"/>
      <c r="D22" s="28"/>
      <c r="E22" s="28"/>
      <c r="F22" s="28"/>
      <c r="G22" s="28"/>
      <c r="H22" s="5"/>
      <c r="I22" s="3"/>
      <c r="J22" s="3"/>
      <c r="K22" s="26"/>
      <c r="L22" s="26"/>
      <c r="M22" s="26"/>
      <c r="N22" s="26"/>
      <c r="O22" s="26"/>
      <c r="P22" s="26"/>
      <c r="Q22" s="26"/>
    </row>
    <row r="23" spans="1:17" ht="14.25" customHeight="1" x14ac:dyDescent="0.25">
      <c r="A23" s="16" t="s">
        <v>16</v>
      </c>
      <c r="B23" s="28"/>
      <c r="C23" s="28"/>
      <c r="D23" s="28"/>
      <c r="E23" s="28"/>
      <c r="F23" s="28"/>
      <c r="G23" s="28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ht="14.25" customHeight="1" x14ac:dyDescent="0.25">
      <c r="A24" s="16" t="s">
        <v>17</v>
      </c>
      <c r="B24" s="28"/>
      <c r="C24" s="28"/>
      <c r="D24" s="28"/>
      <c r="E24" s="28"/>
      <c r="F24" s="28"/>
      <c r="G24" s="28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4.25" customHeight="1" x14ac:dyDescent="0.25">
      <c r="A25" s="16" t="s">
        <v>19</v>
      </c>
      <c r="B25" s="28"/>
      <c r="C25" s="28"/>
      <c r="D25" s="28"/>
      <c r="E25" s="28"/>
      <c r="F25" s="28"/>
      <c r="G25" s="28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ht="14.25" customHeight="1" x14ac:dyDescent="0.25">
      <c r="A26" s="16" t="s">
        <v>18</v>
      </c>
      <c r="B26" s="28"/>
      <c r="C26" s="28"/>
      <c r="D26" s="28"/>
      <c r="E26" s="28"/>
      <c r="F26" s="28"/>
      <c r="G26" s="28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ht="14.25" customHeight="1" x14ac:dyDescent="0.25">
      <c r="A27" s="13"/>
      <c r="B27" s="4"/>
      <c r="C27" s="4"/>
      <c r="D27" s="4"/>
      <c r="E27" s="4"/>
      <c r="F27" s="4"/>
      <c r="G27" s="25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4.25" customHeight="1" x14ac:dyDescent="0.25">
      <c r="A28" s="110" t="s">
        <v>12</v>
      </c>
      <c r="B28" s="110"/>
      <c r="C28" s="110"/>
      <c r="D28" s="110"/>
      <c r="E28" s="110"/>
      <c r="F28" s="110"/>
      <c r="G28" s="110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ht="14.25" customHeight="1" x14ac:dyDescent="0.25">
      <c r="A29" s="10" t="s">
        <v>11</v>
      </c>
      <c r="B29" s="18">
        <v>44317</v>
      </c>
      <c r="C29" s="18">
        <v>44409</v>
      </c>
      <c r="D29" s="18">
        <v>44531</v>
      </c>
      <c r="E29" s="18">
        <v>44593</v>
      </c>
      <c r="F29" s="18">
        <v>44682</v>
      </c>
      <c r="G29" s="18">
        <v>44713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4.25" customHeight="1" x14ac:dyDescent="0.25">
      <c r="A30" s="10" t="s">
        <v>2</v>
      </c>
      <c r="B30" s="29"/>
      <c r="C30" s="29"/>
      <c r="D30" s="29"/>
      <c r="E30" s="29"/>
      <c r="F30" s="29"/>
      <c r="G30" s="29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4.25" customHeight="1" x14ac:dyDescent="0.25">
      <c r="A31" s="11" t="s">
        <v>15</v>
      </c>
      <c r="B31" s="29"/>
      <c r="C31" s="29"/>
      <c r="D31" s="29"/>
      <c r="E31" s="29"/>
      <c r="F31" s="29"/>
      <c r="G31" s="29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4.25" customHeight="1" x14ac:dyDescent="0.25">
      <c r="A32" s="11" t="s">
        <v>16</v>
      </c>
      <c r="B32" s="29"/>
      <c r="C32" s="29"/>
      <c r="D32" s="29"/>
      <c r="E32" s="29"/>
      <c r="F32" s="29"/>
      <c r="G32" s="29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4.25" customHeight="1" x14ac:dyDescent="0.25">
      <c r="A33" s="11" t="s">
        <v>17</v>
      </c>
      <c r="B33" s="29"/>
      <c r="C33" s="29"/>
      <c r="D33" s="29"/>
      <c r="E33" s="29"/>
      <c r="F33" s="29"/>
      <c r="G33" s="29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4.25" customHeight="1" x14ac:dyDescent="0.25">
      <c r="A34" s="11" t="s">
        <v>19</v>
      </c>
      <c r="B34" s="29"/>
      <c r="C34" s="29"/>
      <c r="D34" s="29"/>
      <c r="E34" s="29"/>
      <c r="F34" s="29"/>
      <c r="G34" s="29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4.25" customHeight="1" x14ac:dyDescent="0.25">
      <c r="A35" s="11" t="s">
        <v>18</v>
      </c>
      <c r="B35" s="29"/>
      <c r="C35" s="29"/>
      <c r="D35" s="29"/>
      <c r="E35" s="29"/>
      <c r="F35" s="29"/>
      <c r="G35" s="29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4.25" customHeight="1" x14ac:dyDescent="0.25">
      <c r="A36" s="7"/>
      <c r="B36" s="7"/>
      <c r="C36" s="7"/>
      <c r="D36" s="7"/>
      <c r="E36" s="7"/>
      <c r="F36" s="7"/>
      <c r="G36" s="27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4.25" customHeight="1" x14ac:dyDescent="0.25">
      <c r="A37" s="110" t="s">
        <v>8</v>
      </c>
      <c r="B37" s="110"/>
      <c r="C37" s="110"/>
      <c r="D37" s="110"/>
      <c r="E37" s="110"/>
      <c r="F37" s="110"/>
      <c r="G37" s="110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4.25" customHeight="1" x14ac:dyDescent="0.25">
      <c r="A38" s="19" t="s">
        <v>11</v>
      </c>
      <c r="B38" s="21">
        <v>44317</v>
      </c>
      <c r="C38" s="21">
        <v>44409</v>
      </c>
      <c r="D38" s="21">
        <v>44531</v>
      </c>
      <c r="E38" s="21">
        <v>44593</v>
      </c>
      <c r="F38" s="21">
        <v>44682</v>
      </c>
      <c r="G38" s="21">
        <v>44713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1:17" ht="14.25" customHeight="1" x14ac:dyDescent="0.25">
      <c r="A39" s="19" t="s">
        <v>2</v>
      </c>
      <c r="B39" s="30"/>
      <c r="C39" s="30"/>
      <c r="D39" s="30"/>
      <c r="E39" s="30"/>
      <c r="F39" s="30"/>
      <c r="G39" s="30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ht="14.25" customHeight="1" x14ac:dyDescent="0.25">
      <c r="A40" s="20" t="s">
        <v>15</v>
      </c>
      <c r="B40" s="30"/>
      <c r="C40" s="30"/>
      <c r="D40" s="30"/>
      <c r="E40" s="30"/>
      <c r="F40" s="30"/>
      <c r="G40" s="30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ht="14.25" customHeight="1" x14ac:dyDescent="0.25">
      <c r="A41" s="20" t="s">
        <v>16</v>
      </c>
      <c r="B41" s="30"/>
      <c r="C41" s="30"/>
      <c r="D41" s="30"/>
      <c r="E41" s="30"/>
      <c r="F41" s="30"/>
      <c r="G41" s="30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spans="1:17" ht="14.25" customHeight="1" x14ac:dyDescent="0.25">
      <c r="A42" s="20" t="s">
        <v>17</v>
      </c>
      <c r="B42" s="30"/>
      <c r="C42" s="30"/>
      <c r="D42" s="30"/>
      <c r="E42" s="30"/>
      <c r="F42" s="30"/>
      <c r="G42" s="30"/>
    </row>
    <row r="43" spans="1:17" ht="14.25" customHeight="1" x14ac:dyDescent="0.25">
      <c r="A43" s="20" t="s">
        <v>19</v>
      </c>
      <c r="B43" s="30"/>
      <c r="C43" s="30"/>
      <c r="D43" s="30"/>
      <c r="E43" s="30"/>
      <c r="F43" s="30"/>
      <c r="G43" s="30"/>
    </row>
    <row r="44" spans="1:17" ht="14.25" customHeight="1" x14ac:dyDescent="0.25">
      <c r="A44" s="20" t="s">
        <v>18</v>
      </c>
      <c r="B44" s="30"/>
      <c r="C44" s="30"/>
      <c r="D44" s="30"/>
      <c r="E44" s="30"/>
      <c r="F44" s="30"/>
      <c r="G44" s="30"/>
    </row>
    <row r="45" spans="1:17" ht="14.25" customHeight="1" x14ac:dyDescent="0.25">
      <c r="A45" s="7"/>
      <c r="B45" s="7"/>
      <c r="C45" s="7"/>
      <c r="D45" s="7"/>
      <c r="E45" s="7"/>
      <c r="F45" s="7"/>
      <c r="G45" s="7"/>
    </row>
    <row r="46" spans="1:17" ht="14.25" customHeight="1" x14ac:dyDescent="0.25">
      <c r="A46" s="117" t="s">
        <v>10</v>
      </c>
      <c r="B46" s="118"/>
      <c r="C46" s="118"/>
      <c r="D46" s="118"/>
      <c r="E46" s="118"/>
      <c r="F46" s="118"/>
      <c r="G46" s="119"/>
    </row>
    <row r="47" spans="1:17" ht="14.25" customHeight="1" x14ac:dyDescent="0.25">
      <c r="A47" s="22" t="s">
        <v>11</v>
      </c>
      <c r="B47" s="23">
        <v>44317</v>
      </c>
      <c r="C47" s="23">
        <v>44409</v>
      </c>
      <c r="D47" s="23">
        <v>44531</v>
      </c>
      <c r="E47" s="23">
        <v>44593</v>
      </c>
      <c r="F47" s="23">
        <v>44682</v>
      </c>
      <c r="G47" s="23">
        <v>44713</v>
      </c>
    </row>
    <row r="48" spans="1:17" ht="14.25" customHeight="1" x14ac:dyDescent="0.25">
      <c r="A48" s="22" t="s">
        <v>2</v>
      </c>
      <c r="B48" s="31"/>
      <c r="C48" s="31"/>
      <c r="D48" s="31"/>
      <c r="E48" s="31"/>
      <c r="F48" s="31"/>
      <c r="G48" s="31"/>
    </row>
    <row r="49" spans="1:7" ht="14.25" customHeight="1" x14ac:dyDescent="0.25">
      <c r="A49" s="24" t="s">
        <v>15</v>
      </c>
      <c r="B49" s="31"/>
      <c r="C49" s="31"/>
      <c r="D49" s="31"/>
      <c r="E49" s="31"/>
      <c r="F49" s="31"/>
      <c r="G49" s="31"/>
    </row>
    <row r="50" spans="1:7" ht="14.25" customHeight="1" x14ac:dyDescent="0.25">
      <c r="A50" s="24" t="s">
        <v>16</v>
      </c>
      <c r="B50" s="31"/>
      <c r="C50" s="31"/>
      <c r="D50" s="31"/>
      <c r="E50" s="31"/>
      <c r="F50" s="31"/>
      <c r="G50" s="31"/>
    </row>
    <row r="51" spans="1:7" ht="14.25" customHeight="1" x14ac:dyDescent="0.25">
      <c r="A51" s="24" t="s">
        <v>17</v>
      </c>
      <c r="B51" s="31"/>
      <c r="C51" s="31"/>
      <c r="D51" s="31"/>
      <c r="E51" s="31"/>
      <c r="F51" s="31"/>
      <c r="G51" s="31"/>
    </row>
    <row r="52" spans="1:7" ht="14.25" customHeight="1" x14ac:dyDescent="0.25">
      <c r="A52" s="24" t="s">
        <v>19</v>
      </c>
      <c r="B52" s="31"/>
      <c r="C52" s="31"/>
      <c r="D52" s="31"/>
      <c r="E52" s="31"/>
      <c r="F52" s="31"/>
      <c r="G52" s="31"/>
    </row>
    <row r="53" spans="1:7" ht="14.25" customHeight="1" x14ac:dyDescent="0.25">
      <c r="A53" s="24" t="s">
        <v>18</v>
      </c>
      <c r="B53" s="31"/>
      <c r="C53" s="31"/>
      <c r="D53" s="31"/>
      <c r="E53" s="31"/>
      <c r="F53" s="31"/>
      <c r="G53" s="31"/>
    </row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mergeCells count="11">
    <mergeCell ref="A10:G10"/>
    <mergeCell ref="A19:G19"/>
    <mergeCell ref="A28:G28"/>
    <mergeCell ref="A37:G37"/>
    <mergeCell ref="A46:G46"/>
    <mergeCell ref="G7:I7"/>
    <mergeCell ref="A1:O1"/>
    <mergeCell ref="G3:I3"/>
    <mergeCell ref="G4:I4"/>
    <mergeCell ref="G5:I5"/>
    <mergeCell ref="G6:I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SOCIALIZAÇÃO</vt:lpstr>
      <vt:lpstr>LINGUAGEM</vt:lpstr>
      <vt:lpstr>AUTOS CUIDADOS</vt:lpstr>
      <vt:lpstr>COGNIÇÃO</vt:lpstr>
      <vt:lpstr>MOTOR</vt:lpstr>
      <vt:lpstr>Resultados</vt:lpstr>
      <vt:lpstr>Calculo da Idade</vt:lpstr>
      <vt:lpstr>Acompanhamento contínuo</vt:lpstr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Coelho</dc:creator>
  <cp:lastModifiedBy>Bruno Misael</cp:lastModifiedBy>
  <dcterms:created xsi:type="dcterms:W3CDTF">2022-04-14T10:56:31Z</dcterms:created>
  <dcterms:modified xsi:type="dcterms:W3CDTF">2026-09-18T18:52:59Z</dcterms:modified>
</cp:coreProperties>
</file>